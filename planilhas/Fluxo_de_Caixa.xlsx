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bde6c037f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uxo" sheetId="1" r:id="Rd78a44ffcc07492e"/>
    <x:sheet xmlns:r="http://schemas.openxmlformats.org/officeDocument/2006/relationships" name="Premissas" sheetId="2" r:id="R270de5f96f1e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-&quot;"/>
    <x:numFmt numFmtId="201" formatCode="0.0%"/>
    <x:numFmt numFmtId="202" formatCode="0"/>
  </x:numFmts>
  <x:fonts count="7">
    <x:font>
      <x:sz val="11"/>
      <x:name val="Carlito"/>
    </x:font>
    <x:font>
      <x:sz val="11"/>
      <x:color rgb="FF172E43"/>
      <x:name val="Arial"/>
    </x:font>
    <x:font>
      <x:b/>
      <x:sz val="16"/>
      <x:color rgb="FF172E43"/>
      <x:name val="Arial"/>
    </x:font>
    <x:font>
      <x:sz val="11"/>
      <x:color rgb="FF16804A"/>
      <x:name val="Arial"/>
    </x:font>
    <x:font>
      <x:sz val="11"/>
      <x:color rgb="FF1758AA"/>
      <x:name val="Arial"/>
    </x:font>
    <x:font>
      <x:b/>
      <x:sz val="11"/>
      <x:color rgb="FFFFFFFF"/>
      <x:name val="Arial"/>
    </x:font>
    <x:font>
      <x:b/>
      <x:sz val="11"/>
      <x:color rgb="FF172E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5"/>
      </x:patternFill>
    </x:fill>
    <x:fill>
      <x:patternFill patternType="solid">
        <x:fgColor rgb="FF17384F"/>
      </x:patternFill>
    </x:fill>
    <x:fill>
      <x:patternFill patternType="solid">
        <x:fgColor rgb="FFE8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D2727"/>
      </x:font>
      <x:fill>
        <x:patternFill patternType="solid">
          <x:bgColor rgb="FFFCE4E4"/>
        </x:patternFill>
      </x:fill>
    </x:dxf>
    <x:dxf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34f47a59c447d" /><Relationship Type="http://schemas.openxmlformats.org/officeDocument/2006/relationships/theme" Target="/xl/theme/theme1.xml" Id="R2181417602224696" /><Relationship Type="http://schemas.openxmlformats.org/officeDocument/2006/relationships/sharedStrings" Target="/xl/sharedStrings.xml" Id="R70389e16b03f4d87" /><Relationship Type="http://schemas.openxmlformats.org/officeDocument/2006/relationships/worksheet" Target="/xl/worksheets/sheet1.xml" Id="Rd78a44ffcc07492e" /><Relationship Type="http://schemas.openxmlformats.org/officeDocument/2006/relationships/worksheet" Target="/xl/worksheets/sheet2.xml" Id="R270de5f96f1e49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736ed5c4f548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Saldo mensal de caixa (R$)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Saldo de caixa</c:v>
          </c:tx>
          <c:spPr>
            <a:ln xmlns:a="http://schemas.openxmlformats.org/drawingml/2006/main" w="19050">
              <a:solidFill>
                <a:srgbClr val="087F78"/>
              </a:solidFill>
              <a:prstDash val="solid"/>
            </a:ln>
          </c:spPr>
          <c:marker>
            <c:symbol val="none"/>
          </c:marker>
          <c:cat>
            <c:strRef>
              <c:f>'Fluxo'!$A$48:$A$60</c:f>
              <c:strCache>
                <c:ptCount val="0"/>
              </c:strCache>
            </c:strRef>
          </c:cat>
          <c:val>
            <c:numRef>
              <c:f>'Fluxo'!$B$48:$B$60</c:f>
              <c:numCache>
                <c:formatCode>#,##0.00;(#,##0.00);"-"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Caixa após reserva</c:v>
          </c:tx>
          <c:spPr>
            <a:ln xmlns:a="http://schemas.openxmlformats.org/drawingml/2006/main" w="19050">
              <a:solidFill>
                <a:srgbClr val="B17C17"/>
              </a:solidFill>
              <a:prstDash val="dash"/>
            </a:ln>
          </c:spPr>
          <c:marker>
            <c:symbol val="none"/>
          </c:marker>
          <c:cat>
            <c:strRef>
              <c:f>'Fluxo'!$A$48:$A$60</c:f>
              <c:strCache>
                <c:ptCount val="0"/>
              </c:strCache>
            </c:strRef>
          </c:cat>
          <c:val>
            <c:numRef>
              <c:f>'Fluxo'!$C$48:$C$60</c:f>
              <c:numCache>
                <c:formatCode>#,##0.00;(#,##0.00);"-"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46</xdr:row>
      <xdr:rowOff>0</xdr:rowOff>
    </xdr:from>
    <xdr:to>
      <xdr:col>14</xdr:col>
      <xdr:colOff>0</xdr:colOff>
      <xdr:row>62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736ed5c4f5489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9f6c76ae874618" /></Relationships>
</file>

<file path=xl/worksheets/sheet1.xml><?xml version="1.0" encoding="utf-8"?>
<x:worksheet xmlns:x="http://schemas.openxmlformats.org/spreadsheetml/2006/main">
  <x:sheetPr>
    <x:tabColor rgb="FF17384F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Fluxo de Caixa — Netrunner OT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Cenário selecionado</x:v>
      </x:c>
      <x:c r="B3" s="5" t="str">
        <x:f>Premissas!B3</x:f>
        <x:v>Lean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10" t="str">
        <x:v>Indicador / valores em R$</x:v>
      </x:c>
      <x:c r="B5" s="10" t="str">
        <x:v>M0</x:v>
      </x:c>
      <x:c r="C5" s="10" t="str">
        <x:v>M1</x:v>
      </x:c>
      <x:c r="D5" s="10" t="str">
        <x:v>M2</x:v>
      </x:c>
      <x:c r="E5" s="10" t="str">
        <x:v>M3</x:v>
      </x:c>
      <x:c r="F5" s="10" t="str">
        <x:v>M4</x:v>
      </x:c>
      <x:c r="G5" s="10" t="str">
        <x:v>M5</x:v>
      </x:c>
      <x:c r="H5" s="10" t="str">
        <x:v>M6</x:v>
      </x:c>
      <x:c r="I5" s="10" t="str">
        <x:v>M7</x:v>
      </x:c>
      <x:c r="J5" s="10" t="str">
        <x:v>M8</x:v>
      </x:c>
      <x:c r="K5" s="10" t="str">
        <x:v>M9</x:v>
      </x:c>
      <x:c r="L5" s="10" t="str">
        <x:v>M10</x:v>
      </x:c>
      <x:c r="M5" s="10" t="str">
        <x:v>M11</x:v>
      </x:c>
      <x:c r="N5" s="10" t="str">
        <x:v>M12</x:v>
      </x:c>
    </x:row>
    <x:row r="6" ht="24" customHeight="1">
      <x:c r="A6" s="2" t="str">
        <x:v>Básico — carteira inicial</x:v>
      </x:c>
      <x:c r="B6" s="15" t="n">
        <x:v>0</x:v>
      </x:c>
      <x:c r="C6" s="15" t="n">
        <x:f>B9</x:f>
        <x:v>0</x:v>
      </x:c>
      <x:c r="D6" s="15" t="n">
        <x:f>C9</x:f>
        <x:v>2</x:v>
      </x:c>
      <x:c r="E6" s="15" t="n">
        <x:f>D9</x:f>
        <x:v>4</x:v>
      </x:c>
      <x:c r="F6" s="15" t="n">
        <x:f>E9</x:f>
        <x:v>6</x:v>
      </x:c>
      <x:c r="G6" s="15" t="n">
        <x:f>F9</x:f>
        <x:v>8</x:v>
      </x:c>
      <x:c r="H6" s="15" t="n">
        <x:f>G9</x:f>
        <x:v>9</x:v>
      </x:c>
      <x:c r="I6" s="15" t="n">
        <x:f>H9</x:f>
        <x:v>10</x:v>
      </x:c>
      <x:c r="J6" s="15" t="n">
        <x:f>I9</x:f>
        <x:v>11</x:v>
      </x:c>
      <x:c r="K6" s="15" t="n">
        <x:f>J9</x:f>
        <x:v>12</x:v>
      </x:c>
      <x:c r="L6" s="15" t="n">
        <x:f>K9</x:f>
        <x:v>13</x:v>
      </x:c>
      <x:c r="M6" s="15" t="n">
        <x:f>L9</x:f>
        <x:v>14</x:v>
      </x:c>
      <x:c r="N6" s="15" t="n">
        <x:f>M9</x:f>
        <x:v>15</x:v>
      </x:c>
    </x:row>
    <x:row r="7" ht="24" customHeight="1">
      <x:c r="A7" s="2" t="str">
        <x:v>Novos contratos Básico</x:v>
      </x:c>
      <x:c r="B7" s="15" t="n">
        <x:v>0</x:v>
      </x:c>
      <x:c r="C7" s="16" t="n">
        <x:f>Premissas!B28</x:f>
        <x:v>2</x:v>
      </x:c>
      <x:c r="D7" s="16" t="n">
        <x:f>Premissas!C28</x:f>
        <x:v>2</x:v>
      </x:c>
      <x:c r="E7" s="16" t="n">
        <x:f>Premissas!D28</x:f>
        <x:v>2</x:v>
      </x:c>
      <x:c r="F7" s="16" t="n">
        <x:f>Premissas!E28</x:f>
        <x:v>2</x:v>
      </x:c>
      <x:c r="G7" s="16" t="n">
        <x:f>Premissas!F28</x:f>
        <x:v>1</x:v>
      </x:c>
      <x:c r="H7" s="16" t="n">
        <x:f>Premissas!G28</x:f>
        <x:v>1</x:v>
      </x:c>
      <x:c r="I7" s="16" t="n">
        <x:f>Premissas!H28</x:f>
        <x:v>1</x:v>
      </x:c>
      <x:c r="J7" s="16" t="n">
        <x:f>Premissas!I28</x:f>
        <x:v>1</x:v>
      </x:c>
      <x:c r="K7" s="16" t="n">
        <x:f>Premissas!J28</x:f>
        <x:v>1</x:v>
      </x:c>
      <x:c r="L7" s="16" t="n">
        <x:f>Premissas!K28</x:f>
        <x:v>1</x:v>
      </x:c>
      <x:c r="M7" s="16" t="n">
        <x:f>Premissas!L28</x:f>
        <x:v>1</x:v>
      </x:c>
      <x:c r="N7" s="16" t="n">
        <x:f>Premissas!M28</x:f>
        <x:v>0</x:v>
      </x:c>
    </x:row>
    <x:row r="8" ht="24" customHeight="1">
      <x:c r="A8" s="2" t="str">
        <x:v>Cancelamentos Básico</x:v>
      </x:c>
      <x:c r="B8" s="15" t="n">
        <x:v>0</x:v>
      </x:c>
      <x:c r="C8" s="16" t="n">
        <x:f>Premissas!B36</x:f>
        <x:v>0</x:v>
      </x:c>
      <x:c r="D8" s="16" t="n">
        <x:f>Premissas!C36</x:f>
        <x:v>0</x:v>
      </x:c>
      <x:c r="E8" s="16" t="n">
        <x:f>Premissas!D36</x:f>
        <x:v>0</x:v>
      </x:c>
      <x:c r="F8" s="16" t="n">
        <x:f>Premissas!E36</x:f>
        <x:v>0</x:v>
      </x:c>
      <x:c r="G8" s="16" t="n">
        <x:f>Premissas!F36</x:f>
        <x:v>0</x:v>
      </x:c>
      <x:c r="H8" s="16" t="n">
        <x:f>Premissas!G36</x:f>
        <x:v>0</x:v>
      </x:c>
      <x:c r="I8" s="16" t="n">
        <x:f>Premissas!H36</x:f>
        <x:v>0</x:v>
      </x:c>
      <x:c r="J8" s="16" t="n">
        <x:f>Premissas!I36</x:f>
        <x:v>0</x:v>
      </x:c>
      <x:c r="K8" s="16" t="n">
        <x:f>Premissas!J36</x:f>
        <x:v>0</x:v>
      </x:c>
      <x:c r="L8" s="16" t="n">
        <x:f>Premissas!K36</x:f>
        <x:v>0</x:v>
      </x:c>
      <x:c r="M8" s="16" t="n">
        <x:f>Premissas!L36</x:f>
        <x:v>0</x:v>
      </x:c>
      <x:c r="N8" s="16" t="n">
        <x:f>Premissas!M36</x:f>
        <x:v>0</x:v>
      </x:c>
    </x:row>
    <x:row r="9" ht="24" customHeight="1">
      <x:c r="A9" s="19" t="str">
        <x:v>Básico — carteira final</x:v>
      </x:c>
      <x:c r="B9" s="20" t="n">
        <x:v>0</x:v>
      </x:c>
      <x:c r="C9" s="20" t="n">
        <x:f>C6+C7-C8</x:f>
        <x:v>2</x:v>
      </x:c>
      <x:c r="D9" s="20" t="n">
        <x:f>D6+D7-D8</x:f>
        <x:v>4</x:v>
      </x:c>
      <x:c r="E9" s="20" t="n">
        <x:f>E6+E7-E8</x:f>
        <x:v>6</x:v>
      </x:c>
      <x:c r="F9" s="20" t="n">
        <x:f>F6+F7-F8</x:f>
        <x:v>8</x:v>
      </x:c>
      <x:c r="G9" s="20" t="n">
        <x:f>G6+G7-G8</x:f>
        <x:v>9</x:v>
      </x:c>
      <x:c r="H9" s="20" t="n">
        <x:f>H6+H7-H8</x:f>
        <x:v>10</x:v>
      </x:c>
      <x:c r="I9" s="20" t="n">
        <x:f>I6+I7-I8</x:f>
        <x:v>11</x:v>
      </x:c>
      <x:c r="J9" s="20" t="n">
        <x:f>J6+J7-J8</x:f>
        <x:v>12</x:v>
      </x:c>
      <x:c r="K9" s="20" t="n">
        <x:f>K6+K7-K8</x:f>
        <x:v>13</x:v>
      </x:c>
      <x:c r="L9" s="20" t="n">
        <x:f>L6+L7-L8</x:f>
        <x:v>14</x:v>
      </x:c>
      <x:c r="M9" s="20" t="n">
        <x:f>M6+M7-M8</x:f>
        <x:v>15</x:v>
      </x:c>
      <x:c r="N9" s="20" t="n">
        <x:f>N6+N7-N8</x:f>
        <x:v>15</x:v>
      </x:c>
    </x:row>
    <x:row r="10" ht="24" customHeight="1">
      <x:c r="A10" s="2" t="str">
        <x:v>Profissional — carteira inicial</x:v>
      </x:c>
      <x:c r="B10" s="15" t="n">
        <x:v>0</x:v>
      </x:c>
      <x:c r="C10" s="15" t="n">
        <x:f>B13</x:f>
        <x:v>0</x:v>
      </x:c>
      <x:c r="D10" s="15" t="n">
        <x:f>C13</x:f>
        <x:v>0</x:v>
      </x:c>
      <x:c r="E10" s="15" t="n">
        <x:f>D13</x:f>
        <x:v>0</x:v>
      </x:c>
      <x:c r="F10" s="15" t="n">
        <x:f>E13</x:f>
        <x:v>1</x:v>
      </x:c>
      <x:c r="G10" s="15" t="n">
        <x:f>F13</x:f>
        <x:v>1</x:v>
      </x:c>
      <x:c r="H10" s="15" t="n">
        <x:f>G13</x:f>
        <x:v>2</x:v>
      </x:c>
      <x:c r="I10" s="15" t="n">
        <x:f>H13</x:f>
        <x:v>2</x:v>
      </x:c>
      <x:c r="J10" s="15" t="n">
        <x:f>I13</x:f>
        <x:v>3</x:v>
      </x:c>
      <x:c r="K10" s="15" t="n">
        <x:f>J13</x:f>
        <x:v>3</x:v>
      </x:c>
      <x:c r="L10" s="15" t="n">
        <x:f>K13</x:f>
        <x:v>4</x:v>
      </x:c>
      <x:c r="M10" s="15" t="n">
        <x:f>L13</x:f>
        <x:v>4</x:v>
      </x:c>
      <x:c r="N10" s="15" t="n">
        <x:f>M13</x:f>
        <x:v>5</x:v>
      </x:c>
    </x:row>
    <x:row r="11" ht="24" customHeight="1">
      <x:c r="A11" s="2" t="str">
        <x:v>Novos contratos Profissional</x:v>
      </x:c>
      <x:c r="B11" s="15" t="n">
        <x:v>0</x:v>
      </x:c>
      <x:c r="C11" s="16" t="n">
        <x:f>Premissas!B32</x:f>
        <x:v>0</x:v>
      </x:c>
      <x:c r="D11" s="16" t="n">
        <x:f>Premissas!C32</x:f>
        <x:v>0</x:v>
      </x:c>
      <x:c r="E11" s="16" t="n">
        <x:f>Premissas!D32</x:f>
        <x:v>1</x:v>
      </x:c>
      <x:c r="F11" s="16" t="n">
        <x:f>Premissas!E32</x:f>
        <x:v>0</x:v>
      </x:c>
      <x:c r="G11" s="16" t="n">
        <x:f>Premissas!F32</x:f>
        <x:v>1</x:v>
      </x:c>
      <x:c r="H11" s="16" t="n">
        <x:f>Premissas!G32</x:f>
        <x:v>0</x:v>
      </x:c>
      <x:c r="I11" s="16" t="n">
        <x:f>Premissas!H32</x:f>
        <x:v>1</x:v>
      </x:c>
      <x:c r="J11" s="16" t="n">
        <x:f>Premissas!I32</x:f>
        <x:v>0</x:v>
      </x:c>
      <x:c r="K11" s="16" t="n">
        <x:f>Premissas!J32</x:f>
        <x:v>1</x:v>
      </x:c>
      <x:c r="L11" s="16" t="n">
        <x:f>Premissas!K32</x:f>
        <x:v>0</x:v>
      </x:c>
      <x:c r="M11" s="16" t="n">
        <x:f>Premissas!L32</x:f>
        <x:v>1</x:v>
      </x:c>
      <x:c r="N11" s="16" t="n">
        <x:f>Premissas!M32</x:f>
        <x:v>0</x:v>
      </x:c>
    </x:row>
    <x:row r="12" ht="24" customHeight="1">
      <x:c r="A12" s="2" t="str">
        <x:v>Cancelamentos Profissional</x:v>
      </x:c>
      <x:c r="B12" s="15" t="n">
        <x:v>0</x:v>
      </x:c>
      <x:c r="C12" s="16" t="n">
        <x:f>Premissas!B40</x:f>
        <x:v>0</x:v>
      </x:c>
      <x:c r="D12" s="16" t="n">
        <x:f>Premissas!C40</x:f>
        <x:v>0</x:v>
      </x:c>
      <x:c r="E12" s="16" t="n">
        <x:f>Premissas!D40</x:f>
        <x:v>0</x:v>
      </x:c>
      <x:c r="F12" s="16" t="n">
        <x:f>Premissas!E40</x:f>
        <x:v>0</x:v>
      </x:c>
      <x:c r="G12" s="16" t="n">
        <x:f>Premissas!F40</x:f>
        <x:v>0</x:v>
      </x:c>
      <x:c r="H12" s="16" t="n">
        <x:f>Premissas!G40</x:f>
        <x:v>0</x:v>
      </x:c>
      <x:c r="I12" s="16" t="n">
        <x:f>Premissas!H40</x:f>
        <x:v>0</x:v>
      </x:c>
      <x:c r="J12" s="16" t="n">
        <x:f>Premissas!I40</x:f>
        <x:v>0</x:v>
      </x:c>
      <x:c r="K12" s="16" t="n">
        <x:f>Premissas!J40</x:f>
        <x:v>0</x:v>
      </x:c>
      <x:c r="L12" s="16" t="n">
        <x:f>Premissas!K40</x:f>
        <x:v>0</x:v>
      </x:c>
      <x:c r="M12" s="16" t="n">
        <x:f>Premissas!L40</x:f>
        <x:v>0</x:v>
      </x:c>
      <x:c r="N12" s="16" t="n">
        <x:f>Premissas!M40</x:f>
        <x:v>0</x:v>
      </x:c>
    </x:row>
    <x:row r="13" ht="24" customHeight="1">
      <x:c r="A13" s="19" t="str">
        <x:v>Profissional — carteira final</x:v>
      </x:c>
      <x:c r="B13" s="20" t="n">
        <x:v>0</x:v>
      </x:c>
      <x:c r="C13" s="20" t="n">
        <x:f>C10+C11-C12</x:f>
        <x:v>0</x:v>
      </x:c>
      <x:c r="D13" s="20" t="n">
        <x:f>D10+D11-D12</x:f>
        <x:v>0</x:v>
      </x:c>
      <x:c r="E13" s="20" t="n">
        <x:f>E10+E11-E12</x:f>
        <x:v>1</x:v>
      </x:c>
      <x:c r="F13" s="20" t="n">
        <x:f>F10+F11-F12</x:f>
        <x:v>1</x:v>
      </x:c>
      <x:c r="G13" s="20" t="n">
        <x:f>G10+G11-G12</x:f>
        <x:v>2</x:v>
      </x:c>
      <x:c r="H13" s="20" t="n">
        <x:f>H10+H11-H12</x:f>
        <x:v>2</x:v>
      </x:c>
      <x:c r="I13" s="20" t="n">
        <x:f>I10+I11-I12</x:f>
        <x:v>3</x:v>
      </x:c>
      <x:c r="J13" s="20" t="n">
        <x:f>J10+J11-J12</x:f>
        <x:v>3</x:v>
      </x:c>
      <x:c r="K13" s="20" t="n">
        <x:f>K10+K11-K12</x:f>
        <x:v>4</x:v>
      </x:c>
      <x:c r="L13" s="20" t="n">
        <x:f>L10+L11-L12</x:f>
        <x:v>4</x:v>
      </x:c>
      <x:c r="M13" s="20" t="n">
        <x:f>M10+M11-M12</x:f>
        <x:v>5</x:v>
      </x:c>
      <x:c r="N13" s="20" t="n">
        <x:f>N10+N11-N12</x:f>
        <x:v>5</x:v>
      </x:c>
    </x:row>
    <x:row r="14" ht="24" customHeight="1">
      <x:c r="A14" s="2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 ht="24" customHeight="1">
      <x:c r="A15" s="2" t="str">
        <x:v>Faturamento do mês</x:v>
      </x:c>
      <x:c r="B15" s="3" t="n">
        <x:v>0</x:v>
      </x:c>
      <x:c r="C15" s="14" t="n">
        <x:f>C9*Premissas!$B$6+C13*Premissas!$B$7</x:f>
        <x:v>1980</x:v>
      </x:c>
      <x:c r="D15" s="14" t="n">
        <x:f>D9*Premissas!$B$6+D13*Premissas!$B$7</x:f>
        <x:v>3960</x:v>
      </x:c>
      <x:c r="E15" s="14" t="n">
        <x:f>E9*Premissas!$B$6+E13*Premissas!$B$7</x:f>
        <x:v>7930</x:v>
      </x:c>
      <x:c r="F15" s="14" t="n">
        <x:f>F9*Premissas!$B$6+F13*Premissas!$B$7</x:f>
        <x:v>9910</x:v>
      </x:c>
      <x:c r="G15" s="14" t="n">
        <x:f>G9*Premissas!$B$6+G13*Premissas!$B$7</x:f>
        <x:v>12890</x:v>
      </x:c>
      <x:c r="H15" s="14" t="n">
        <x:f>H9*Premissas!$B$6+H13*Premissas!$B$7</x:f>
        <x:v>13880</x:v>
      </x:c>
      <x:c r="I15" s="14" t="n">
        <x:f>I9*Premissas!$B$6+I13*Premissas!$B$7</x:f>
        <x:v>16860</x:v>
      </x:c>
      <x:c r="J15" s="14" t="n">
        <x:f>J9*Premissas!$B$6+J13*Premissas!$B$7</x:f>
        <x:v>17850</x:v>
      </x:c>
      <x:c r="K15" s="14" t="n">
        <x:f>K9*Premissas!$B$6+K13*Premissas!$B$7</x:f>
        <x:v>20830</x:v>
      </x:c>
      <x:c r="L15" s="14" t="n">
        <x:f>L9*Premissas!$B$6+L13*Premissas!$B$7</x:f>
        <x:v>21820</x:v>
      </x:c>
      <x:c r="M15" s="14" t="n">
        <x:f>M9*Premissas!$B$6+M13*Premissas!$B$7</x:f>
        <x:v>24800</x:v>
      </x:c>
      <x:c r="N15" s="14" t="n">
        <x:f>N9*Premissas!$B$6+N13*Premissas!$B$7</x:f>
        <x:v>24800</x:v>
      </x:c>
    </x:row>
    <x:row r="16" ht="24" customHeight="1">
      <x:c r="A16" s="2" t="str">
        <x:v>Recebimentos do próprio mês</x:v>
      </x:c>
      <x:c r="B16" s="3" t="n">
        <x:v>0</x:v>
      </x:c>
      <x:c r="C16" s="14" t="n">
        <x:f>C15*Premissas!$B$15</x:f>
        <x:v>1980</x:v>
      </x:c>
      <x:c r="D16" s="14" t="n">
        <x:f>D15*Premissas!$B$15</x:f>
        <x:v>3960</x:v>
      </x:c>
      <x:c r="E16" s="14" t="n">
        <x:f>E15*Premissas!$B$15</x:f>
        <x:v>7930</x:v>
      </x:c>
      <x:c r="F16" s="14" t="n">
        <x:f>F15*Premissas!$B$15</x:f>
        <x:v>9910</x:v>
      </x:c>
      <x:c r="G16" s="14" t="n">
        <x:f>G15*Premissas!$B$15</x:f>
        <x:v>12890</x:v>
      </x:c>
      <x:c r="H16" s="14" t="n">
        <x:f>H15*Premissas!$B$15</x:f>
        <x:v>13880</x:v>
      </x:c>
      <x:c r="I16" s="14" t="n">
        <x:f>I15*Premissas!$B$15</x:f>
        <x:v>16860</x:v>
      </x:c>
      <x:c r="J16" s="14" t="n">
        <x:f>J15*Premissas!$B$15</x:f>
        <x:v>17850</x:v>
      </x:c>
      <x:c r="K16" s="14" t="n">
        <x:f>K15*Premissas!$B$15</x:f>
        <x:v>20830</x:v>
      </x:c>
      <x:c r="L16" s="14" t="n">
        <x:f>L15*Premissas!$B$15</x:f>
        <x:v>21820</x:v>
      </x:c>
      <x:c r="M16" s="14" t="n">
        <x:f>M15*Premissas!$B$15</x:f>
        <x:v>24800</x:v>
      </x:c>
      <x:c r="N16" s="14" t="n">
        <x:f>N15*Premissas!$B$15</x:f>
        <x:v>24800</x:v>
      </x:c>
    </x:row>
    <x:row r="17" ht="24" customHeight="1">
      <x:c r="A17" s="2" t="str">
        <x:v>Recebimentos do mês anterior</x:v>
      </x:c>
      <x:c r="B17" s="3" t="n">
        <x:v>0</x:v>
      </x:c>
      <x:c r="C17" s="3" t="n">
        <x:f>B34</x:f>
        <x:v>0</x:v>
      </x:c>
      <x:c r="D17" s="3" t="n">
        <x:f>C34</x:f>
        <x:v>0</x:v>
      </x:c>
      <x:c r="E17" s="3" t="n">
        <x:f>D34</x:f>
        <x:v>0</x:v>
      </x:c>
      <x:c r="F17" s="3" t="n">
        <x:f>E34</x:f>
        <x:v>0</x:v>
      </x:c>
      <x:c r="G17" s="3" t="n">
        <x:f>F34</x:f>
        <x:v>0</x:v>
      </x:c>
      <x:c r="H17" s="3" t="n">
        <x:f>G34</x:f>
        <x:v>0</x:v>
      </x:c>
      <x:c r="I17" s="3" t="n">
        <x:f>H34</x:f>
        <x:v>0</x:v>
      </x:c>
      <x:c r="J17" s="3" t="n">
        <x:f>I34</x:f>
        <x:v>0</x:v>
      </x:c>
      <x:c r="K17" s="3" t="n">
        <x:f>J34</x:f>
        <x:v>0</x:v>
      </x:c>
      <x:c r="L17" s="3" t="n">
        <x:f>K34</x:f>
        <x:v>0</x:v>
      </x:c>
      <x:c r="M17" s="3" t="n">
        <x:f>L34</x:f>
        <x:v>0</x:v>
      </x:c>
      <x:c r="N17" s="3" t="n">
        <x:f>M34</x:f>
        <x:v>0</x:v>
      </x:c>
    </x:row>
    <x:row r="18" ht="24" customHeight="1">
      <x:c r="A18" s="19" t="str">
        <x:v>Entradas operacionais</x:v>
      </x:c>
      <x:c r="B18" s="22" t="n">
        <x:v>0</x:v>
      </x:c>
      <x:c r="C18" s="22" t="n">
        <x:f>SUM(C16:C17)</x:f>
        <x:v>1980</x:v>
      </x:c>
      <x:c r="D18" s="22" t="n">
        <x:f>SUM(D16:D17)</x:f>
        <x:v>3960</x:v>
      </x:c>
      <x:c r="E18" s="22" t="n">
        <x:f>SUM(E16:E17)</x:f>
        <x:v>7930</x:v>
      </x:c>
      <x:c r="F18" s="22" t="n">
        <x:f>SUM(F16:F17)</x:f>
        <x:v>9910</x:v>
      </x:c>
      <x:c r="G18" s="22" t="n">
        <x:f>SUM(G16:G17)</x:f>
        <x:v>12890</x:v>
      </x:c>
      <x:c r="H18" s="22" t="n">
        <x:f>SUM(H16:H17)</x:f>
        <x:v>13880</x:v>
      </x:c>
      <x:c r="I18" s="22" t="n">
        <x:f>SUM(I16:I17)</x:f>
        <x:v>16860</x:v>
      </x:c>
      <x:c r="J18" s="22" t="n">
        <x:f>SUM(J16:J17)</x:f>
        <x:v>17850</x:v>
      </x:c>
      <x:c r="K18" s="22" t="n">
        <x:f>SUM(K16:K17)</x:f>
        <x:v>20830</x:v>
      </x:c>
      <x:c r="L18" s="22" t="n">
        <x:f>SUM(L16:L17)</x:f>
        <x:v>21820</x:v>
      </x:c>
      <x:c r="M18" s="22" t="n">
        <x:f>SUM(M16:M17)</x:f>
        <x:v>24800</x:v>
      </x:c>
      <x:c r="N18" s="22" t="n">
        <x:f>SUM(N16:N17)</x:f>
        <x:v>24800</x:v>
      </x:c>
    </x:row>
    <x:row r="19" ht="24" customHeight="1">
      <x:c r="A19" s="2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 ht="24" customHeight="1">
      <x:c r="A20" s="2" t="str">
        <x:v>Custos variáveis pagos</x:v>
      </x:c>
      <x:c r="B20" s="3" t="n">
        <x:v>0</x:v>
      </x:c>
      <x:c r="C20" s="14" t="n">
        <x:f>C9*Premissas!$B$8+C13*Premissas!$B$9</x:f>
        <x:v>460</x:v>
      </x:c>
      <x:c r="D20" s="14" t="n">
        <x:f>D9*Premissas!$B$8+D13*Premissas!$B$9</x:f>
        <x:v>920</x:v>
      </x:c>
      <x:c r="E20" s="14" t="n">
        <x:f>E9*Premissas!$B$8+E13*Premissas!$B$9</x:f>
        <x:v>1840</x:v>
      </x:c>
      <x:c r="F20" s="14" t="n">
        <x:f>F9*Premissas!$B$8+F13*Premissas!$B$9</x:f>
        <x:v>2300</x:v>
      </x:c>
      <x:c r="G20" s="14" t="n">
        <x:f>G9*Premissas!$B$8+G13*Premissas!$B$9</x:f>
        <x:v>2990</x:v>
      </x:c>
      <x:c r="H20" s="14" t="n">
        <x:f>H9*Premissas!$B$8+H13*Premissas!$B$9</x:f>
        <x:v>3220</x:v>
      </x:c>
      <x:c r="I20" s="14" t="n">
        <x:f>I9*Premissas!$B$8+I13*Premissas!$B$9</x:f>
        <x:v>3910</x:v>
      </x:c>
      <x:c r="J20" s="14" t="n">
        <x:f>J9*Premissas!$B$8+J13*Premissas!$B$9</x:f>
        <x:v>4140</x:v>
      </x:c>
      <x:c r="K20" s="14" t="n">
        <x:f>K9*Premissas!$B$8+K13*Premissas!$B$9</x:f>
        <x:v>4830</x:v>
      </x:c>
      <x:c r="L20" s="14" t="n">
        <x:f>L9*Premissas!$B$8+L13*Premissas!$B$9</x:f>
        <x:v>5060</x:v>
      </x:c>
      <x:c r="M20" s="14" t="n">
        <x:f>M9*Premissas!$B$8+M13*Premissas!$B$9</x:f>
        <x:v>5750</x:v>
      </x:c>
      <x:c r="N20" s="14" t="n">
        <x:f>N9*Premissas!$B$8+N13*Premissas!$B$9</x:f>
        <x:v>5750</x:v>
      </x:c>
    </x:row>
    <x:row r="21" ht="24" customHeight="1">
      <x:c r="A21" s="2" t="str">
        <x:v>Gastos fixos pagos</x:v>
      </x:c>
      <x:c r="B21" s="3" t="n">
        <x:v>0</x:v>
      </x:c>
      <x:c r="C21" s="14" t="n">
        <x:f>Premissas!$B$10</x:f>
        <x:v>8000</x:v>
      </x:c>
      <x:c r="D21" s="14" t="n">
        <x:f>Premissas!$B$10</x:f>
        <x:v>8000</x:v>
      </x:c>
      <x:c r="E21" s="14" t="n">
        <x:f>Premissas!$B$10</x:f>
        <x:v>8000</x:v>
      </x:c>
      <x:c r="F21" s="14" t="n">
        <x:f>Premissas!$B$10</x:f>
        <x:v>8000</x:v>
      </x:c>
      <x:c r="G21" s="14" t="n">
        <x:f>Premissas!$B$10</x:f>
        <x:v>8000</x:v>
      </x:c>
      <x:c r="H21" s="14" t="n">
        <x:f>Premissas!$B$10</x:f>
        <x:v>8000</x:v>
      </x:c>
      <x:c r="I21" s="14" t="n">
        <x:f>Premissas!$B$10</x:f>
        <x:v>8000</x:v>
      </x:c>
      <x:c r="J21" s="14" t="n">
        <x:f>Premissas!$B$10</x:f>
        <x:v>8000</x:v>
      </x:c>
      <x:c r="K21" s="14" t="n">
        <x:f>Premissas!$B$10</x:f>
        <x:v>8000</x:v>
      </x:c>
      <x:c r="L21" s="14" t="n">
        <x:f>Premissas!$B$10</x:f>
        <x:v>8000</x:v>
      </x:c>
      <x:c r="M21" s="14" t="n">
        <x:f>Premissas!$B$10</x:f>
        <x:v>8000</x:v>
      </x:c>
      <x:c r="N21" s="14" t="n">
        <x:f>Premissas!$B$10</x:f>
        <x:v>8000</x:v>
      </x:c>
    </x:row>
    <x:row r="22" ht="24" customHeight="1">
      <x:c r="A22" s="2" t="str">
        <x:v>Taxas sobre recebimentos</x:v>
      </x:c>
      <x:c r="B22" s="3" t="n">
        <x:v>0</x:v>
      </x:c>
      <x:c r="C22" s="14" t="n">
        <x:f>C18*Premissas!$B$13</x:f>
        <x:v>59.4</x:v>
      </x:c>
      <x:c r="D22" s="14" t="n">
        <x:f>D18*Premissas!$B$13</x:f>
        <x:v>118.8</x:v>
      </x:c>
      <x:c r="E22" s="14" t="n">
        <x:f>E18*Premissas!$B$13</x:f>
        <x:v>237.89999999999998</x:v>
      </x:c>
      <x:c r="F22" s="14" t="n">
        <x:f>F18*Premissas!$B$13</x:f>
        <x:v>297.3</x:v>
      </x:c>
      <x:c r="G22" s="14" t="n">
        <x:f>G18*Premissas!$B$13</x:f>
        <x:v>386.7</x:v>
      </x:c>
      <x:c r="H22" s="14" t="n">
        <x:f>H18*Premissas!$B$13</x:f>
        <x:v>416.4</x:v>
      </x:c>
      <x:c r="I22" s="14" t="n">
        <x:f>I18*Premissas!$B$13</x:f>
        <x:v>505.79999999999995</x:v>
      </x:c>
      <x:c r="J22" s="14" t="n">
        <x:f>J18*Premissas!$B$13</x:f>
        <x:v>535.5</x:v>
      </x:c>
      <x:c r="K22" s="14" t="n">
        <x:f>K18*Premissas!$B$13</x:f>
        <x:v>624.9</x:v>
      </x:c>
      <x:c r="L22" s="14" t="n">
        <x:f>L18*Premissas!$B$13</x:f>
        <x:v>654.6</x:v>
      </x:c>
      <x:c r="M22" s="14" t="n">
        <x:f>M18*Premissas!$B$13</x:f>
        <x:v>744</x:v>
      </x:c>
      <x:c r="N22" s="14" t="n">
        <x:f>N18*Premissas!$B$13</x:f>
        <x:v>744</x:v>
      </x:c>
    </x:row>
    <x:row r="23" ht="24" customHeight="1">
      <x:c r="A23" s="2" t="str">
        <x:v>Tributos pagos (mês anterior)</x:v>
      </x:c>
      <x:c r="B23" s="3" t="n">
        <x:v>0</x:v>
      </x:c>
      <x:c r="C23" s="3" t="n">
        <x:f>B35</x:f>
        <x:v>0</x:v>
      </x:c>
      <x:c r="D23" s="3" t="n">
        <x:f>C35</x:f>
        <x:v>356.4</x:v>
      </x:c>
      <x:c r="E23" s="3" t="n">
        <x:f>D35</x:f>
        <x:v>712.8</x:v>
      </x:c>
      <x:c r="F23" s="3" t="n">
        <x:f>E35</x:f>
        <x:v>1427.3999999999999</x:v>
      </x:c>
      <x:c r="G23" s="3" t="n">
        <x:f>F35</x:f>
        <x:v>1783.8</x:v>
      </x:c>
      <x:c r="H23" s="3" t="n">
        <x:f>G35</x:f>
        <x:v>2320.2</x:v>
      </x:c>
      <x:c r="I23" s="3" t="n">
        <x:f>H35</x:f>
        <x:v>2498.4</x:v>
      </x:c>
      <x:c r="J23" s="3" t="n">
        <x:f>I35</x:f>
        <x:v>3034.7999999999997</x:v>
      </x:c>
      <x:c r="K23" s="3" t="n">
        <x:f>J35</x:f>
        <x:v>3213</x:v>
      </x:c>
      <x:c r="L23" s="3" t="n">
        <x:f>K35</x:f>
        <x:v>3749.3999999999996</x:v>
      </x:c>
      <x:c r="M23" s="3" t="n">
        <x:f>L35</x:f>
        <x:v>3927.6</x:v>
      </x:c>
      <x:c r="N23" s="3" t="n">
        <x:f>M35</x:f>
        <x:v>4464</x:v>
      </x:c>
    </x:row>
    <x:row r="24" ht="24" customHeight="1">
      <x:c r="A24" s="19" t="str">
        <x:v>Saídas operacionais</x:v>
      </x:c>
      <x:c r="B24" s="22" t="n">
        <x:v>0</x:v>
      </x:c>
      <x:c r="C24" s="22" t="n">
        <x:f>SUM(C20:C23)</x:f>
        <x:v>8519.4</x:v>
      </x:c>
      <x:c r="D24" s="22" t="n">
        <x:f>SUM(D20:D23)</x:f>
        <x:v>9395.199999999999</x:v>
      </x:c>
      <x:c r="E24" s="22" t="n">
        <x:f>SUM(E20:E23)</x:f>
        <x:v>10790.699999999999</x:v>
      </x:c>
      <x:c r="F24" s="22" t="n">
        <x:f>SUM(F20:F23)</x:f>
        <x:v>12024.699999999999</x:v>
      </x:c>
      <x:c r="G24" s="22" t="n">
        <x:f>SUM(G20:G23)</x:f>
        <x:v>13160.5</x:v>
      </x:c>
      <x:c r="H24" s="22" t="n">
        <x:f>SUM(H20:H23)</x:f>
        <x:v>13956.599999999999</x:v>
      </x:c>
      <x:c r="I24" s="22" t="n">
        <x:f>SUM(I20:I23)</x:f>
        <x:v>14914.199999999999</x:v>
      </x:c>
      <x:c r="J24" s="22" t="n">
        <x:f>SUM(J20:J23)</x:f>
        <x:v>15710.3</x:v>
      </x:c>
      <x:c r="K24" s="22" t="n">
        <x:f>SUM(K20:K23)</x:f>
        <x:v>16667.9</x:v>
      </x:c>
      <x:c r="L24" s="22" t="n">
        <x:f>SUM(L20:L23)</x:f>
        <x:v>17464</x:v>
      </x:c>
      <x:c r="M24" s="22" t="n">
        <x:f>SUM(M20:M23)</x:f>
        <x:v>18421.6</x:v>
      </x:c>
      <x:c r="N24" s="22" t="n">
        <x:f>SUM(N20:N23)</x:f>
        <x:v>18958</x:v>
      </x:c>
    </x:row>
    <x:row r="25" ht="24" customHeight="1">
      <x:c r="A25" s="2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 ht="24" customHeight="1">
      <x:c r="A26" s="19" t="str">
        <x:v>Caixa operacional líquido</x:v>
      </x:c>
      <x:c r="B26" s="22" t="n">
        <x:v>0</x:v>
      </x:c>
      <x:c r="C26" s="22" t="n">
        <x:f>C18-C24</x:f>
        <x:v>-6539.4</x:v>
      </x:c>
      <x:c r="D26" s="22" t="n">
        <x:f>D18-D24</x:f>
        <x:v>-5435.199999999999</x:v>
      </x:c>
      <x:c r="E26" s="22" t="n">
        <x:f>E18-E24</x:f>
        <x:v>-2860.699999999999</x:v>
      </x:c>
      <x:c r="F26" s="22" t="n">
        <x:f>F18-F24</x:f>
        <x:v>-2114.699999999999</x:v>
      </x:c>
      <x:c r="G26" s="22" t="n">
        <x:f>G18-G24</x:f>
        <x:v>-270.5</x:v>
      </x:c>
      <x:c r="H26" s="22" t="n">
        <x:f>H18-H24</x:f>
        <x:v>-76.59999999999854</x:v>
      </x:c>
      <x:c r="I26" s="22" t="n">
        <x:f>I18-I24</x:f>
        <x:v>1945.800000000001</x:v>
      </x:c>
      <x:c r="J26" s="22" t="n">
        <x:f>J18-J24</x:f>
        <x:v>2139.7000000000007</x:v>
      </x:c>
      <x:c r="K26" s="22" t="n">
        <x:f>K18-K24</x:f>
        <x:v>4162.0999999999985</x:v>
      </x:c>
      <x:c r="L26" s="22" t="n">
        <x:f>L18-L24</x:f>
        <x:v>4356</x:v>
      </x:c>
      <x:c r="M26" s="22" t="n">
        <x:f>M18-M24</x:f>
        <x:v>6378.4000000000015</x:v>
      </x:c>
      <x:c r="N26" s="22" t="n">
        <x:f>N18-N24</x:f>
        <x:v>5842</x:v>
      </x:c>
    </x:row>
    <x:row r="27" ht="24" customHeight="1">
      <x:c r="A27" s="2" t="str">
        <x:v>Aporte dos sócios</x:v>
      </x:c>
      <x:c r="B27" s="14" t="n">
        <x:f>Premissas!B12</x:f>
        <x:v>45000</x:v>
      </x:c>
      <x:c r="C27" s="3" t="n">
        <x:f>0</x:f>
        <x:v>0</x:v>
      </x:c>
      <x:c r="D27" s="3" t="n">
        <x:f>0</x:f>
        <x:v>0</x:v>
      </x:c>
      <x:c r="E27" s="3" t="n">
        <x:f>0</x:f>
        <x:v>0</x:v>
      </x:c>
      <x:c r="F27" s="3" t="n">
        <x:f>0</x:f>
        <x:v>0</x:v>
      </x:c>
      <x:c r="G27" s="3" t="n">
        <x:f>0</x:f>
        <x:v>0</x:v>
      </x:c>
      <x:c r="H27" s="3" t="n">
        <x:f>0</x:f>
        <x:v>0</x:v>
      </x:c>
      <x:c r="I27" s="3" t="n">
        <x:f>0</x:f>
        <x:v>0</x:v>
      </x:c>
      <x:c r="J27" s="3" t="n">
        <x:f>0</x:f>
        <x:v>0</x:v>
      </x:c>
      <x:c r="K27" s="3" t="n">
        <x:f>0</x:f>
        <x:v>0</x:v>
      </x:c>
      <x:c r="L27" s="3" t="n">
        <x:f>0</x:f>
        <x:v>0</x:v>
      </x:c>
      <x:c r="M27" s="3" t="n">
        <x:f>0</x:f>
        <x:v>0</x:v>
      </x:c>
      <x:c r="N27" s="3" t="n">
        <x:f>0</x:f>
        <x:v>0</x:v>
      </x:c>
    </x:row>
    <x:row r="28" ht="24" customHeight="1">
      <x:c r="A28" s="2" t="str">
        <x:v>Desembolso de implantação</x:v>
      </x:c>
      <x:c r="B28" s="14" t="n">
        <x:f>Premissas!B11</x:f>
        <x:v>21000</x:v>
      </x:c>
      <x:c r="C28" s="3" t="n">
        <x:f>0</x:f>
        <x:v>0</x:v>
      </x:c>
      <x:c r="D28" s="3" t="n">
        <x:f>0</x:f>
        <x:v>0</x:v>
      </x:c>
      <x:c r="E28" s="3" t="n">
        <x:f>0</x:f>
        <x:v>0</x:v>
      </x:c>
      <x:c r="F28" s="3" t="n">
        <x:f>0</x:f>
        <x:v>0</x:v>
      </x:c>
      <x:c r="G28" s="3" t="n">
        <x:f>0</x:f>
        <x:v>0</x:v>
      </x:c>
      <x:c r="H28" s="3" t="n">
        <x:f>0</x:f>
        <x:v>0</x:v>
      </x:c>
      <x:c r="I28" s="3" t="n">
        <x:f>0</x:f>
        <x:v>0</x:v>
      </x:c>
      <x:c r="J28" s="3" t="n">
        <x:f>0</x:f>
        <x:v>0</x:v>
      </x:c>
      <x:c r="K28" s="3" t="n">
        <x:f>0</x:f>
        <x:v>0</x:v>
      </x:c>
      <x:c r="L28" s="3" t="n">
        <x:f>0</x:f>
        <x:v>0</x:v>
      </x:c>
      <x:c r="M28" s="3" t="n">
        <x:f>0</x:f>
        <x:v>0</x:v>
      </x:c>
      <x:c r="N28" s="3" t="n">
        <x:f>0</x:f>
        <x:v>0</x:v>
      </x:c>
    </x:row>
    <x:row r="29" ht="24" customHeight="1">
      <x:c r="A29" s="19" t="str">
        <x:v>Variação total do caixa</x:v>
      </x:c>
      <x:c r="B29" s="22" t="n">
        <x:f>B27-B28</x:f>
        <x:v>24000</x:v>
      </x:c>
      <x:c r="C29" s="22" t="n">
        <x:f>C26+C27-C28</x:f>
        <x:v>-6539.4</x:v>
      </x:c>
      <x:c r="D29" s="22" t="n">
        <x:f>D26+D27-D28</x:f>
        <x:v>-5435.199999999999</x:v>
      </x:c>
      <x:c r="E29" s="22" t="n">
        <x:f>E26+E27-E28</x:f>
        <x:v>-2860.699999999999</x:v>
      </x:c>
      <x:c r="F29" s="22" t="n">
        <x:f>F26+F27-F28</x:f>
        <x:v>-2114.699999999999</x:v>
      </x:c>
      <x:c r="G29" s="22" t="n">
        <x:f>G26+G27-G28</x:f>
        <x:v>-270.5</x:v>
      </x:c>
      <x:c r="H29" s="22" t="n">
        <x:f>H26+H27-H28</x:f>
        <x:v>-76.59999999999854</x:v>
      </x:c>
      <x:c r="I29" s="22" t="n">
        <x:f>I26+I27-I28</x:f>
        <x:v>1945.800000000001</x:v>
      </x:c>
      <x:c r="J29" s="22" t="n">
        <x:f>J26+J27-J28</x:f>
        <x:v>2139.7000000000007</x:v>
      </x:c>
      <x:c r="K29" s="22" t="n">
        <x:f>K26+K27-K28</x:f>
        <x:v>4162.0999999999985</x:v>
      </x:c>
      <x:c r="L29" s="22" t="n">
        <x:f>L26+L27-L28</x:f>
        <x:v>4356</x:v>
      </x:c>
      <x:c r="M29" s="22" t="n">
        <x:f>M26+M27-M28</x:f>
        <x:v>6378.4000000000015</x:v>
      </x:c>
      <x:c r="N29" s="22" t="n">
        <x:f>N26+N27-N28</x:f>
        <x:v>5842</x:v>
      </x:c>
    </x:row>
    <x:row r="30" ht="24" customHeight="1">
      <x:c r="A30" s="2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 ht="24" customHeight="1">
      <x:c r="A31" s="2" t="str">
        <x:v>Saldo inicial</x:v>
      </x:c>
      <x:c r="B31" s="14" t="n">
        <x:f>Premissas!B16</x:f>
        <x:v>0</x:v>
      </x:c>
      <x:c r="C31" s="3" t="n">
        <x:f>B32</x:f>
        <x:v>24000</x:v>
      </x:c>
      <x:c r="D31" s="3" t="n">
        <x:f>C32</x:f>
        <x:v>17460.6</x:v>
      </x:c>
      <x:c r="E31" s="3" t="n">
        <x:f>D32</x:f>
        <x:v>12025.4</x:v>
      </x:c>
      <x:c r="F31" s="3" t="n">
        <x:f>E32</x:f>
        <x:v>9164.7</x:v>
      </x:c>
      <x:c r="G31" s="3" t="n">
        <x:f>F32</x:f>
        <x:v>7050.000000000002</x:v>
      </x:c>
      <x:c r="H31" s="3" t="n">
        <x:f>G32</x:f>
        <x:v>6779.500000000002</x:v>
      </x:c>
      <x:c r="I31" s="3" t="n">
        <x:f>H32</x:f>
        <x:v>6702.900000000003</x:v>
      </x:c>
      <x:c r="J31" s="3" t="n">
        <x:f>I32</x:f>
        <x:v>8648.700000000004</x:v>
      </x:c>
      <x:c r="K31" s="3" t="n">
        <x:f>J32</x:f>
        <x:v>10788.400000000005</x:v>
      </x:c>
      <x:c r="L31" s="3" t="n">
        <x:f>K32</x:f>
        <x:v>14950.500000000004</x:v>
      </x:c>
      <x:c r="M31" s="3" t="n">
        <x:f>L32</x:f>
        <x:v>19306.500000000004</x:v>
      </x:c>
      <x:c r="N31" s="3" t="n">
        <x:f>M32</x:f>
        <x:v>25684.900000000005</x:v>
      </x:c>
    </x:row>
    <x:row r="32" ht="24" customHeight="1">
      <x:c r="A32" s="19" t="str">
        <x:v>Saldo final</x:v>
      </x:c>
      <x:c r="B32" s="22" t="n">
        <x:f>B31+B29</x:f>
        <x:v>24000</x:v>
      </x:c>
      <x:c r="C32" s="22" t="n">
        <x:f>C31+C29</x:f>
        <x:v>17460.6</x:v>
      </x:c>
      <x:c r="D32" s="22" t="n">
        <x:f>D31+D29</x:f>
        <x:v>12025.4</x:v>
      </x:c>
      <x:c r="E32" s="22" t="n">
        <x:f>E31+E29</x:f>
        <x:v>9164.7</x:v>
      </x:c>
      <x:c r="F32" s="22" t="n">
        <x:f>F31+F29</x:f>
        <x:v>7050.000000000002</x:v>
      </x:c>
      <x:c r="G32" s="22" t="n">
        <x:f>G31+G29</x:f>
        <x:v>6779.500000000002</x:v>
      </x:c>
      <x:c r="H32" s="22" t="n">
        <x:f>H31+H29</x:f>
        <x:v>6702.900000000003</x:v>
      </x:c>
      <x:c r="I32" s="22" t="n">
        <x:f>I31+I29</x:f>
        <x:v>8648.700000000004</x:v>
      </x:c>
      <x:c r="J32" s="22" t="n">
        <x:f>J31+J29</x:f>
        <x:v>10788.400000000005</x:v>
      </x:c>
      <x:c r="K32" s="22" t="n">
        <x:f>K31+K29</x:f>
        <x:v>14950.500000000004</x:v>
      </x:c>
      <x:c r="L32" s="22" t="n">
        <x:f>L31+L29</x:f>
        <x:v>19306.500000000004</x:v>
      </x:c>
      <x:c r="M32" s="22" t="n">
        <x:f>M31+M29</x:f>
        <x:v>25684.900000000005</x:v>
      </x:c>
      <x:c r="N32" s="22" t="n">
        <x:f>N31+N29</x:f>
        <x:v>31526.900000000005</x:v>
      </x:c>
    </x:row>
    <x:row r="33" ht="24" customHeight="1">
      <x:c r="A33" s="2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 ht="24" customHeight="1">
      <x:c r="A34" s="2" t="str">
        <x:v>Contas a receber no encerramento</x:v>
      </x:c>
      <x:c r="B34" s="3" t="n">
        <x:v>0</x:v>
      </x:c>
      <x:c r="C34" s="3" t="n">
        <x:f>C15-C16</x:f>
        <x:v>0</x:v>
      </x:c>
      <x:c r="D34" s="3" t="n">
        <x:f>D15-D16</x:f>
        <x:v>0</x:v>
      </x:c>
      <x:c r="E34" s="3" t="n">
        <x:f>E15-E16</x:f>
        <x:v>0</x:v>
      </x:c>
      <x:c r="F34" s="3" t="n">
        <x:f>F15-F16</x:f>
        <x:v>0</x:v>
      </x:c>
      <x:c r="G34" s="3" t="n">
        <x:f>G15-G16</x:f>
        <x:v>0</x:v>
      </x:c>
      <x:c r="H34" s="3" t="n">
        <x:f>H15-H16</x:f>
        <x:v>0</x:v>
      </x:c>
      <x:c r="I34" s="3" t="n">
        <x:f>I15-I16</x:f>
        <x:v>0</x:v>
      </x:c>
      <x:c r="J34" s="3" t="n">
        <x:f>J15-J16</x:f>
        <x:v>0</x:v>
      </x:c>
      <x:c r="K34" s="3" t="n">
        <x:f>K15-K16</x:f>
        <x:v>0</x:v>
      </x:c>
      <x:c r="L34" s="3" t="n">
        <x:f>L15-L16</x:f>
        <x:v>0</x:v>
      </x:c>
      <x:c r="M34" s="3" t="n">
        <x:f>M15-M16</x:f>
        <x:v>0</x:v>
      </x:c>
      <x:c r="N34" s="3" t="n">
        <x:f>N15-N16</x:f>
        <x:v>0</x:v>
      </x:c>
    </x:row>
    <x:row r="35" ht="24" customHeight="1">
      <x:c r="A35" s="2" t="str">
        <x:v>Tributos provisionados a pagar</x:v>
      </x:c>
      <x:c r="B35" s="3" t="n">
        <x:v>0</x:v>
      </x:c>
      <x:c r="C35" s="14" t="n">
        <x:f>C15*Premissas!$B$14</x:f>
        <x:v>356.4</x:v>
      </x:c>
      <x:c r="D35" s="14" t="n">
        <x:f>D15*Premissas!$B$14</x:f>
        <x:v>712.8</x:v>
      </x:c>
      <x:c r="E35" s="14" t="n">
        <x:f>E15*Premissas!$B$14</x:f>
        <x:v>1427.3999999999999</x:v>
      </x:c>
      <x:c r="F35" s="14" t="n">
        <x:f>F15*Premissas!$B$14</x:f>
        <x:v>1783.8</x:v>
      </x:c>
      <x:c r="G35" s="14" t="n">
        <x:f>G15*Premissas!$B$14</x:f>
        <x:v>2320.2</x:v>
      </x:c>
      <x:c r="H35" s="14" t="n">
        <x:f>H15*Premissas!$B$14</x:f>
        <x:v>2498.4</x:v>
      </x:c>
      <x:c r="I35" s="14" t="n">
        <x:f>I15*Premissas!$B$14</x:f>
        <x:v>3034.7999999999997</x:v>
      </x:c>
      <x:c r="J35" s="14" t="n">
        <x:f>J15*Premissas!$B$14</x:f>
        <x:v>3213</x:v>
      </x:c>
      <x:c r="K35" s="14" t="n">
        <x:f>K15*Premissas!$B$14</x:f>
        <x:v>3749.3999999999996</x:v>
      </x:c>
      <x:c r="L35" s="14" t="n">
        <x:f>L15*Premissas!$B$14</x:f>
        <x:v>3927.6</x:v>
      </x:c>
      <x:c r="M35" s="14" t="n">
        <x:f>M15*Premissas!$B$14</x:f>
        <x:v>4464</x:v>
      </x:c>
      <x:c r="N35" s="14" t="n">
        <x:f>N15*Premissas!$B$14</x:f>
        <x:v>4464</x:v>
      </x:c>
    </x:row>
    <x:row r="36" ht="24" customHeight="1">
      <x:c r="A36" s="19" t="str">
        <x:v>Caixa após reserva tributária</x:v>
      </x:c>
      <x:c r="B36" s="22" t="n">
        <x:f>B32</x:f>
        <x:v>24000</x:v>
      </x:c>
      <x:c r="C36" s="22" t="n">
        <x:f>C32-C35</x:f>
        <x:v>17104.199999999997</x:v>
      </x:c>
      <x:c r="D36" s="22" t="n">
        <x:f>D32-D35</x:f>
        <x:v>11312.6</x:v>
      </x:c>
      <x:c r="E36" s="22" t="n">
        <x:f>E32-E35</x:f>
        <x:v>7737.300000000001</x:v>
      </x:c>
      <x:c r="F36" s="22" t="n">
        <x:f>F32-F35</x:f>
        <x:v>5266.200000000002</x:v>
      </x:c>
      <x:c r="G36" s="22" t="n">
        <x:f>G32-G35</x:f>
        <x:v>4459.300000000002</x:v>
      </x:c>
      <x:c r="H36" s="22" t="n">
        <x:f>H32-H35</x:f>
        <x:v>4204.500000000004</x:v>
      </x:c>
      <x:c r="I36" s="22" t="n">
        <x:f>I32-I35</x:f>
        <x:v>5613.900000000005</x:v>
      </x:c>
      <x:c r="J36" s="22" t="n">
        <x:f>J32-J35</x:f>
        <x:v>7575.400000000005</x:v>
      </x:c>
      <x:c r="K36" s="22" t="n">
        <x:f>K32-K35</x:f>
        <x:v>11201.100000000004</x:v>
      </x:c>
      <x:c r="L36" s="22" t="n">
        <x:f>L32-L35</x:f>
        <x:v>15378.900000000003</x:v>
      </x:c>
      <x:c r="M36" s="22" t="n">
        <x:f>M32-M35</x:f>
        <x:v>21220.900000000005</x:v>
      </x:c>
      <x:c r="N36" s="22" t="n">
        <x:f>N32-N35</x:f>
        <x:v>27062.900000000005</x:v>
      </x:c>
    </x:row>
    <x:row r="37" ht="24" customHeight="1">
      <x:c r="A37" s="2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 ht="24" customHeight="1">
      <x:c r="A38" s="2" t="str">
        <x:v>Carteira: validação</x:v>
      </x:c>
      <x:c r="B38" s="3" t="str">
        <x:v>Sem carteira</x:v>
      </x:c>
      <x:c r="C38" s="3" t="str">
        <x:f>IF(MIN(C9,C13)&lt;0,"REVER PERDAS","OK")</x:f>
        <x:v>OK</x:v>
      </x:c>
      <x:c r="D38" s="3" t="str">
        <x:f>IF(MIN(D9,D13)&lt;0,"REVER PERDAS","OK")</x:f>
        <x:v>OK</x:v>
      </x:c>
      <x:c r="E38" s="3" t="str">
        <x:f>IF(MIN(E9,E13)&lt;0,"REVER PERDAS","OK")</x:f>
        <x:v>OK</x:v>
      </x:c>
      <x:c r="F38" s="3" t="str">
        <x:f>IF(MIN(F9,F13)&lt;0,"REVER PERDAS","OK")</x:f>
        <x:v>OK</x:v>
      </x:c>
      <x:c r="G38" s="3" t="str">
        <x:f>IF(MIN(G9,G13)&lt;0,"REVER PERDAS","OK")</x:f>
        <x:v>OK</x:v>
      </x:c>
      <x:c r="H38" s="3" t="str">
        <x:f>IF(MIN(H9,H13)&lt;0,"REVER PERDAS","OK")</x:f>
        <x:v>OK</x:v>
      </x:c>
      <x:c r="I38" s="3" t="str">
        <x:f>IF(MIN(I9,I13)&lt;0,"REVER PERDAS","OK")</x:f>
        <x:v>OK</x:v>
      </x:c>
      <x:c r="J38" s="3" t="str">
        <x:f>IF(MIN(J9,J13)&lt;0,"REVER PERDAS","OK")</x:f>
        <x:v>OK</x:v>
      </x:c>
      <x:c r="K38" s="3" t="str">
        <x:f>IF(MIN(K9,K13)&lt;0,"REVER PERDAS","OK")</x:f>
        <x:v>OK</x:v>
      </x:c>
      <x:c r="L38" s="3" t="str">
        <x:f>IF(MIN(L9,L13)&lt;0,"REVER PERDAS","OK")</x:f>
        <x:v>OK</x:v>
      </x:c>
      <x:c r="M38" s="3" t="str">
        <x:f>IF(MIN(M9,M13)&lt;0,"REVER PERDAS","OK")</x:f>
        <x:v>OK</x:v>
      </x:c>
      <x:c r="N38" s="3" t="str">
        <x:f>IF(MIN(N9,N13)&lt;0,"REVER PERDAS","OK")</x:f>
        <x:v>OK</x:v>
      </x:c>
    </x:row>
    <x:row r="39" ht="24" customHeight="1">
      <x:c r="A39" s="2" t="str">
        <x:v>Conciliação de caixa (zero esperado)</x:v>
      </x:c>
      <x:c r="B39" s="3" t="n">
        <x:f>B32-B31-B29</x:f>
        <x:v>0</x:v>
      </x:c>
      <x:c r="C39" s="3" t="n">
        <x:f>C32-C31-C29</x:f>
        <x:v>-1.8189894035458565e-12</x:v>
      </x:c>
      <x:c r="D39" s="3" t="n">
        <x:f>D32-D31-D29</x:f>
        <x:v>0</x:v>
      </x:c>
      <x:c r="E39" s="3" t="n">
        <x:f>E32-E31-E29</x:f>
        <x:v>0</x:v>
      </x:c>
      <x:c r="F39" s="3" t="n">
        <x:f>F32-F31-F29</x:f>
        <x:v>0</x:v>
      </x:c>
      <x:c r="G39" s="3" t="n">
        <x:f>G32-G31-G29</x:f>
        <x:v>0</x:v>
      </x:c>
      <x:c r="H39" s="3" t="n">
        <x:f>H32-H31-H29</x:f>
        <x:v>0</x:v>
      </x:c>
      <x:c r="I39" s="3" t="n">
        <x:f>I32-I31-I29</x:f>
        <x:v>0</x:v>
      </x:c>
      <x:c r="J39" s="3" t="n">
        <x:f>J32-J31-J29</x:f>
        <x:v>0</x:v>
      </x:c>
      <x:c r="K39" s="3" t="n">
        <x:f>K32-K31-K29</x:f>
        <x:v>0</x:v>
      </x:c>
      <x:c r="L39" s="3" t="n">
        <x:f>L32-L31-L29</x:f>
        <x:v>0</x:v>
      </x:c>
      <x:c r="M39" s="3" t="n">
        <x:f>M32-M31-M29</x:f>
        <x:v>0</x:v>
      </x:c>
      <x:c r="N39" s="3" t="n">
        <x:f>N32-N31-N29</x:f>
        <x:v>0</x:v>
      </x:c>
    </x:row>
    <x:row r="40" ht="24" customHeight="1">
      <x:c r="A40" s="2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  <x:row r="41" ht="24" customHeight="1">
      <x:c r="A41" s="2" t="str">
        <x:v>Caixa negativo indica necessidade de financiamento; o modelo não injeta aporte automático.</x:v>
      </x:c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 ht="24" customHeight="1">
      <x:c r="A42" s="2" t="str">
        <x:v>Tributos de M12 e recebíveis finais permanecem abertos, visíveis nas linhas 34 e 35.</x:v>
      </x:c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  <x:row r="43" ht="24" customHeight="1">
      <x:c r="A43" s="2" t="str">
        <x:v>A reserva tributária orçada difere do DAS efetivo do plano; compare as bases antes de usar.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4" customHeight="1">
      <x:c r="A47" s="10" t="str">
        <x:v>Período</x:v>
      </x:c>
      <x:c r="B47" s="10" t="str">
        <x:v>Saldo de caixa</x:v>
      </x:c>
      <x:c r="C47" s="10" t="str">
        <x:v>Caixa após reserva</x:v>
      </x:c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4" customHeight="1">
      <x:c r="A48" s="2" t="str">
        <x:f>B5</x:f>
        <x:v>M0</x:v>
      </x:c>
      <x:c r="B48" s="3" t="n">
        <x:f>B32</x:f>
        <x:v>24000</x:v>
      </x:c>
      <x:c r="C48" s="3" t="n">
        <x:f>B36</x:f>
        <x:v>24000</x:v>
      </x:c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4" customHeight="1">
      <x:c r="A49" s="2" t="str">
        <x:f>C5</x:f>
        <x:v>M1</x:v>
      </x:c>
      <x:c r="B49" s="3" t="n">
        <x:f>C32</x:f>
        <x:v>17460.6</x:v>
      </x:c>
      <x:c r="C49" s="3" t="n">
        <x:f>C36</x:f>
        <x:v>17104.199999999997</x:v>
      </x:c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4" customHeight="1">
      <x:c r="A50" s="2" t="str">
        <x:f>D5</x:f>
        <x:v>M2</x:v>
      </x:c>
      <x:c r="B50" s="3" t="n">
        <x:f>D32</x:f>
        <x:v>12025.4</x:v>
      </x:c>
      <x:c r="C50" s="3" t="n">
        <x:f>D36</x:f>
        <x:v>11312.6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4" customHeight="1">
      <x:c r="A51" s="2" t="str">
        <x:f>E5</x:f>
        <x:v>M3</x:v>
      </x:c>
      <x:c r="B51" s="3" t="n">
        <x:f>E32</x:f>
        <x:v>9164.7</x:v>
      </x:c>
      <x:c r="C51" s="3" t="n">
        <x:f>E36</x:f>
        <x:v>7737.300000000001</x:v>
      </x:c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4" customHeight="1">
      <x:c r="A52" s="2" t="str">
        <x:f>F5</x:f>
        <x:v>M4</x:v>
      </x:c>
      <x:c r="B52" s="3" t="n">
        <x:f>F32</x:f>
        <x:v>7050.000000000002</x:v>
      </x:c>
      <x:c r="C52" s="3" t="n">
        <x:f>F36</x:f>
        <x:v>5266.200000000002</x:v>
      </x:c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4" customHeight="1">
      <x:c r="A53" s="2" t="str">
        <x:f>G5</x:f>
        <x:v>M5</x:v>
      </x:c>
      <x:c r="B53" s="3" t="n">
        <x:f>G32</x:f>
        <x:v>6779.500000000002</x:v>
      </x:c>
      <x:c r="C53" s="3" t="n">
        <x:f>G36</x:f>
        <x:v>4459.300000000002</x:v>
      </x:c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4" customHeight="1">
      <x:c r="A54" s="2" t="str">
        <x:f>H5</x:f>
        <x:v>M6</x:v>
      </x:c>
      <x:c r="B54" s="3" t="n">
        <x:f>H32</x:f>
        <x:v>6702.900000000003</x:v>
      </x:c>
      <x:c r="C54" s="3" t="n">
        <x:f>H36</x:f>
        <x:v>4204.500000000004</x:v>
      </x:c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4" customHeight="1">
      <x:c r="A55" s="2" t="str">
        <x:f>I5</x:f>
        <x:v>M7</x:v>
      </x:c>
      <x:c r="B55" s="3" t="n">
        <x:f>I32</x:f>
        <x:v>8648.700000000004</x:v>
      </x:c>
      <x:c r="C55" s="3" t="n">
        <x:f>I36</x:f>
        <x:v>5613.900000000005</x:v>
      </x:c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4" customHeight="1">
      <x:c r="A56" s="2" t="str">
        <x:f>J5</x:f>
        <x:v>M8</x:v>
      </x:c>
      <x:c r="B56" s="3" t="n">
        <x:f>J32</x:f>
        <x:v>10788.400000000005</x:v>
      </x:c>
      <x:c r="C56" s="3" t="n">
        <x:f>J36</x:f>
        <x:v>7575.400000000005</x:v>
      </x:c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4" customHeight="1">
      <x:c r="A57" s="2" t="str">
        <x:f>K5</x:f>
        <x:v>M9</x:v>
      </x:c>
      <x:c r="B57" s="3" t="n">
        <x:f>K32</x:f>
        <x:v>14950.500000000004</x:v>
      </x:c>
      <x:c r="C57" s="3" t="n">
        <x:f>K36</x:f>
        <x:v>11201.100000000004</x:v>
      </x:c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4" customHeight="1">
      <x:c r="A58" s="2" t="str">
        <x:f>L5</x:f>
        <x:v>M10</x:v>
      </x:c>
      <x:c r="B58" s="3" t="n">
        <x:f>L32</x:f>
        <x:v>19306.500000000004</x:v>
      </x:c>
      <x:c r="C58" s="3" t="n">
        <x:f>L36</x:f>
        <x:v>15378.900000000003</x:v>
      </x:c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4" customHeight="1">
      <x:c r="A59" s="2" t="str">
        <x:f>M5</x:f>
        <x:v>M11</x:v>
      </x:c>
      <x:c r="B59" s="3" t="n">
        <x:f>M32</x:f>
        <x:v>25684.900000000005</x:v>
      </x:c>
      <x:c r="C59" s="3" t="n">
        <x:f>M36</x:f>
        <x:v>21220.900000000005</x:v>
      </x:c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4" customHeight="1">
      <x:c r="A60" s="2" t="str">
        <x:f>N5</x:f>
        <x:v>M12</x:v>
      </x:c>
      <x:c r="B60" s="3" t="n">
        <x:f>N32</x:f>
        <x:v>31526.900000000005</x:v>
      </x:c>
      <x:c r="C60" s="3" t="n">
        <x:f>N36</x:f>
        <x:v>27062.900000000005</x:v>
      </x:c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</x:sheetData>
  <x:conditionalFormatting sqref="B32:N36">
    <x:cfRule type="cellIs" dxfId="0" priority="1" operator="lessThan">
      <x:formula>0</x:formula>
    </x:cfRule>
  </x:conditionalFormatting>
  <x:conditionalFormatting sqref="C38:N38">
    <x:cfRule type="containsText" dxfId="1" priority="2" operator="containsText" text="REVER"/>
  </x:conditionalFormatting>
  <x:pageMargins left="0.7" right="0.7" top="0.75" bottom="0.75" header="0.3" footer="0.3"/>
  <x:drawing xmlns:r="http://schemas.openxmlformats.org/officeDocument/2006/relationships" r:id="R059f6c76ae874618"/>
</x:worksheet>
</file>

<file path=xl/worksheets/sheet2.xml><?xml version="1.0" encoding="utf-8"?>
<x:worksheet xmlns:x="http://schemas.openxmlformats.org/spreadsheetml/2006/main">
  <x:sheetPr>
    <x:tabColor rgb="FF087F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4" t="str">
        <x:v>Premissas editáveis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Cenário selecionado</x:v>
      </x:c>
      <x:c r="B3" s="7" t="str">
        <x:v>Lean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10" t="str">
        <x:v>Premissa</x:v>
      </x:c>
      <x:c r="B5" s="10" t="str">
        <x:v>Ativa</x:v>
      </x:c>
      <x:c r="C5" s="10" t="str">
        <x:v>Lean</x:v>
      </x:c>
      <x:c r="D5" s="10" t="str">
        <x:v>Ideal</x:v>
      </x:c>
      <x:c r="E5" s="2"/>
      <x:c r="F5" s="2"/>
      <x:c r="G5" s="2"/>
      <x:c r="H5" s="2"/>
      <x:c r="I5" s="2"/>
      <x:c r="J5" s="2"/>
      <x:c r="K5" s="2"/>
      <x:c r="L5" s="2"/>
      <x:c r="M5" s="2"/>
    </x:row>
    <x:row r="6" ht="24" customHeight="1">
      <x:c r="A6" s="2" t="str">
        <x:v>Preço Básico (R$/mês)</x:v>
      </x:c>
      <x:c r="B6" s="3" t="n">
        <x:f>IF($B$3="Lean",C6,D6)</x:f>
        <x:v>990</x:v>
      </x:c>
      <x:c r="C6" s="11" t="n">
        <x:v>990</x:v>
      </x:c>
      <x:c r="D6" s="11" t="n">
        <x:v>990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4" customHeight="1">
      <x:c r="A7" s="2" t="str">
        <x:v>Preço Profissional (R$/mês)</x:v>
      </x:c>
      <x:c r="B7" s="3" t="n">
        <x:f>IF($B$3="Lean",C7,D7)</x:f>
        <x:v>1990</x:v>
      </x:c>
      <x:c r="C7" s="11" t="n">
        <x:v>1990</x:v>
      </x:c>
      <x:c r="D7" s="11" t="n">
        <x:v>1990</x:v>
      </x:c>
      <x:c r="E7" s="2"/>
      <x:c r="F7" s="2"/>
      <x:c r="G7" s="2"/>
      <x:c r="H7" s="2"/>
      <x:c r="I7" s="2"/>
      <x:c r="J7" s="2"/>
      <x:c r="K7" s="2"/>
      <x:c r="L7" s="2"/>
      <x:c r="M7" s="2"/>
    </x:row>
    <x:row r="8" ht="24" customHeight="1">
      <x:c r="A8" s="2" t="str">
        <x:v>Custo variável Básico (R$/mês)</x:v>
      </x:c>
      <x:c r="B8" s="3" t="n">
        <x:f>IF($B$3="Lean",C8,D8)</x:f>
        <x:v>230</x:v>
      </x:c>
      <x:c r="C8" s="11" t="n">
        <x:v>230</x:v>
      </x:c>
      <x:c r="D8" s="11" t="n">
        <x:v>230</x:v>
      </x:c>
      <x:c r="E8" s="2"/>
      <x:c r="F8" s="2"/>
      <x:c r="G8" s="2"/>
      <x:c r="H8" s="2"/>
      <x:c r="I8" s="2"/>
      <x:c r="J8" s="2"/>
      <x:c r="K8" s="2"/>
      <x:c r="L8" s="2"/>
      <x:c r="M8" s="2"/>
    </x:row>
    <x:row r="9" ht="24" customHeight="1">
      <x:c r="A9" s="2" t="str">
        <x:v>Custo variável Profissional (R$/mês)</x:v>
      </x:c>
      <x:c r="B9" s="3" t="n">
        <x:f>IF($B$3="Lean",C9,D9)</x:f>
        <x:v>460</x:v>
      </x:c>
      <x:c r="C9" s="11" t="n">
        <x:v>460</x:v>
      </x:c>
      <x:c r="D9" s="11" t="n">
        <x:v>460</x:v>
      </x:c>
      <x:c r="E9" s="2"/>
      <x:c r="F9" s="2"/>
      <x:c r="G9" s="2"/>
      <x:c r="H9" s="2"/>
      <x:c r="I9" s="2"/>
      <x:c r="J9" s="2"/>
      <x:c r="K9" s="2"/>
      <x:c r="L9" s="2"/>
      <x:c r="M9" s="2"/>
    </x:row>
    <x:row r="10" ht="24" customHeight="1">
      <x:c r="A10" s="2" t="str">
        <x:v>Gastos fixos (R$/mês)</x:v>
      </x:c>
      <x:c r="B10" s="3" t="n">
        <x:f>IF($B$3="Lean",C10,D10)</x:f>
        <x:v>8000</x:v>
      </x:c>
      <x:c r="C10" s="11" t="n">
        <x:v>8000</x:v>
      </x:c>
      <x:c r="D10" s="11" t="n">
        <x:v>25000</x:v>
      </x:c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4" customHeight="1">
      <x:c r="A11" s="2" t="str">
        <x:v>Desembolso inicial (R$)</x:v>
      </x:c>
      <x:c r="B11" s="3" t="n">
        <x:f>IF($B$3="Lean",C11,D11)</x:f>
        <x:v>21000</x:v>
      </x:c>
      <x:c r="C11" s="11" t="n">
        <x:v>21000</x:v>
      </x:c>
      <x:c r="D11" s="11" t="n">
        <x:v>85000</x:v>
      </x:c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4" customHeight="1">
      <x:c r="A12" s="2" t="str">
        <x:v>Aporte inicial (R$)</x:v>
      </x:c>
      <x:c r="B12" s="3" t="n">
        <x:f>IF($B$3="Lean",C12,D12)</x:f>
        <x:v>45000</x:v>
      </x:c>
      <x:c r="C12" s="11" t="n">
        <x:v>45000</x:v>
      </x:c>
      <x:c r="D12" s="11" t="n">
        <x:v>160000</x:v>
      </x:c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4" customHeight="1">
      <x:c r="A13" s="2" t="str">
        <x:v>Taxa de recebimento</x:v>
      </x:c>
      <x:c r="B13" s="12" t="n">
        <x:f>IF($B$3="Lean",C13,D13)</x:f>
        <x:v>0.03</x:v>
      </x:c>
      <x:c r="C13" s="13" t="n">
        <x:v>0.03</x:v>
      </x:c>
      <x:c r="D13" s="13" t="n">
        <x:v>0.03</x:v>
      </x:c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4" customHeight="1">
      <x:c r="A14" s="2" t="str">
        <x:v>Reserva tributária sobre faturamento</x:v>
      </x:c>
      <x:c r="B14" s="12" t="n">
        <x:f>IF($B$3="Lean",C14,D14)</x:f>
        <x:v>0.18</x:v>
      </x:c>
      <x:c r="C14" s="13" t="n">
        <x:v>0.18</x:v>
      </x:c>
      <x:c r="D14" s="13" t="n">
        <x:v>0.205</x:v>
      </x:c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4" customHeight="1">
      <x:c r="A15" s="2" t="str">
        <x:v>Recebimento no próprio mês</x:v>
      </x:c>
      <x:c r="B15" s="12" t="n">
        <x:f>IF($B$3="Lean",C15,D15)</x:f>
        <x:v>1</x:v>
      </x:c>
      <x:c r="C15" s="13" t="n">
        <x:v>1</x:v>
      </x:c>
      <x:c r="D15" s="13" t="n">
        <x:v>1</x:v>
      </x:c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4" customHeight="1">
      <x:c r="A16" s="2" t="str">
        <x:v>Caixa anterior ao aporte (R$)</x:v>
      </x:c>
      <x:c r="B16" s="3" t="n">
        <x:f>IF($B$3="Lean",C16,D16)</x:f>
        <x:v>0</x:v>
      </x:c>
      <x:c r="C16" s="11" t="n">
        <x:v>0</x:v>
      </x:c>
      <x:c r="D16" s="11" t="n">
        <x:v>0</x:v>
      </x:c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4" customHeight="1">
      <x:c r="A19" s="2" t="str">
        <x:v>Base: Plano de Negócios.md, custos de 01/10/2026. Rampa e reserva fiscal são novas hipóteses.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4" customHeight="1">
      <x:c r="A20" s="2" t="str">
        <x:v>Horizonte relativo M0–M12: data de lançamento ainda não definida; sem receitas históricas.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4" customHeight="1">
      <x:c r="A21" s="2" t="str">
        <x:v>Tributo é reserva conservadora de caixa, paga no mês seguinte. Não reproduz apuração do DAS.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" customHeight="1">
      <x:c r="A22" s="2" t="str">
        <x:v>Atualizar tributos antes do lançamento. Parcelas não recebidas no mês entram no mês seguinte.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2" t="str">
        <x:v>Sem inadimplência, juros ou inflação. Perdas de clientes são quantidades editáveis, não churn percentual.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4" customHeight="1">
      <x:c r="A24" s="2" t="str">
        <x:v>Clientes novos e cancelamentos ocorrem antes da cobrança do mês. Não há proporcionalidade de dias.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4" customHeight="1">
      <x:c r="A27" s="10" t="str">
        <x:v>Rampa mensal</x:v>
      </x:c>
      <x:c r="B27" s="10" t="str">
        <x:v>M1</x:v>
      </x:c>
      <x:c r="C27" s="10" t="str">
        <x:v>M2</x:v>
      </x:c>
      <x:c r="D27" s="10" t="str">
        <x:v>M3</x:v>
      </x:c>
      <x:c r="E27" s="10" t="str">
        <x:v>M4</x:v>
      </x:c>
      <x:c r="F27" s="10" t="str">
        <x:v>M5</x:v>
      </x:c>
      <x:c r="G27" s="10" t="str">
        <x:v>M6</x:v>
      </x:c>
      <x:c r="H27" s="10" t="str">
        <x:v>M7</x:v>
      </x:c>
      <x:c r="I27" s="10" t="str">
        <x:v>M8</x:v>
      </x:c>
      <x:c r="J27" s="10" t="str">
        <x:v>M9</x:v>
      </x:c>
      <x:c r="K27" s="10" t="str">
        <x:v>M10</x:v>
      </x:c>
      <x:c r="L27" s="10" t="str">
        <x:v>M11</x:v>
      </x:c>
      <x:c r="M27" s="10" t="str">
        <x:v>M12</x:v>
      </x:c>
    </x:row>
    <x:row r="28" ht="24" customHeight="1">
      <x:c r="A28" s="2" t="str">
        <x:v>Novos Básico — ativa</x:v>
      </x:c>
      <x:c r="B28" s="2" t="n">
        <x:f>IF($B$3="Lean",B29,B30)</x:f>
        <x:v>2</x:v>
      </x:c>
      <x:c r="C28" s="2" t="n">
        <x:f>IF($B$3="Lean",C29,C30)</x:f>
        <x:v>2</x:v>
      </x:c>
      <x:c r="D28" s="2" t="n">
        <x:f>IF($B$3="Lean",D29,D30)</x:f>
        <x:v>2</x:v>
      </x:c>
      <x:c r="E28" s="2" t="n">
        <x:f>IF($B$3="Lean",E29,E30)</x:f>
        <x:v>2</x:v>
      </x:c>
      <x:c r="F28" s="2" t="n">
        <x:f>IF($B$3="Lean",F29,F30)</x:f>
        <x:v>1</x:v>
      </x:c>
      <x:c r="G28" s="2" t="n">
        <x:f>IF($B$3="Lean",G29,G30)</x:f>
        <x:v>1</x:v>
      </x:c>
      <x:c r="H28" s="2" t="n">
        <x:f>IF($B$3="Lean",H29,H30)</x:f>
        <x:v>1</x:v>
      </x:c>
      <x:c r="I28" s="2" t="n">
        <x:f>IF($B$3="Lean",I29,I30)</x:f>
        <x:v>1</x:v>
      </x:c>
      <x:c r="J28" s="2" t="n">
        <x:f>IF($B$3="Lean",J29,J30)</x:f>
        <x:v>1</x:v>
      </x:c>
      <x:c r="K28" s="2" t="n">
        <x:f>IF($B$3="Lean",K29,K30)</x:f>
        <x:v>1</x:v>
      </x:c>
      <x:c r="L28" s="2" t="n">
        <x:f>IF($B$3="Lean",L29,L30)</x:f>
        <x:v>1</x:v>
      </x:c>
      <x:c r="M28" s="2" t="n">
        <x:f>IF($B$3="Lean",M29,M30)</x:f>
        <x:v>0</x:v>
      </x:c>
    </x:row>
    <x:row r="29" ht="24" customHeight="1">
      <x:c r="A29" s="2" t="str">
        <x:v>Lean</x:v>
      </x:c>
      <x:c r="B29" s="7" t="n">
        <x:v>2</x:v>
      </x:c>
      <x:c r="C29" s="7" t="n">
        <x:v>2</x:v>
      </x:c>
      <x:c r="D29" s="7" t="n">
        <x:v>2</x:v>
      </x:c>
      <x:c r="E29" s="7" t="n">
        <x:v>2</x:v>
      </x:c>
      <x:c r="F29" s="7" t="n">
        <x:v>1</x:v>
      </x:c>
      <x:c r="G29" s="7" t="n">
        <x:v>1</x:v>
      </x:c>
      <x:c r="H29" s="7" t="n">
        <x:v>1</x:v>
      </x:c>
      <x:c r="I29" s="7" t="n">
        <x:v>1</x:v>
      </x:c>
      <x:c r="J29" s="7" t="n">
        <x:v>1</x:v>
      </x:c>
      <x:c r="K29" s="7" t="n">
        <x:v>1</x:v>
      </x:c>
      <x:c r="L29" s="7" t="n">
        <x:v>1</x:v>
      </x:c>
      <x:c r="M29" s="7" t="n">
        <x:v>0</x:v>
      </x:c>
    </x:row>
    <x:row r="30" ht="24" customHeight="1">
      <x:c r="A30" s="2" t="str">
        <x:v>Ideal</x:v>
      </x:c>
      <x:c r="B30" s="7" t="n">
        <x:v>3</x:v>
      </x:c>
      <x:c r="C30" s="7" t="n">
        <x:v>3</x:v>
      </x:c>
      <x:c r="D30" s="7" t="n">
        <x:v>3</x:v>
      </x:c>
      <x:c r="E30" s="7" t="n">
        <x:v>3</x:v>
      </x:c>
      <x:c r="F30" s="7" t="n">
        <x:v>3</x:v>
      </x:c>
      <x:c r="G30" s="7" t="n">
        <x:v>3</x:v>
      </x:c>
      <x:c r="H30" s="7" t="n">
        <x:v>3</x:v>
      </x:c>
      <x:c r="I30" s="7" t="n">
        <x:v>3</x:v>
      </x:c>
      <x:c r="J30" s="7" t="n">
        <x:v>3</x:v>
      </x:c>
      <x:c r="K30" s="7" t="n">
        <x:v>3</x:v>
      </x:c>
      <x:c r="L30" s="7" t="n">
        <x:v>0</x:v>
      </x:c>
      <x:c r="M30" s="7" t="n">
        <x:v>0</x:v>
      </x:c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4" customHeight="1">
      <x:c r="A32" s="2" t="str">
        <x:v>Novos Profissional — ativa</x:v>
      </x:c>
      <x:c r="B32" s="2" t="n">
        <x:f>IF($B$3="Lean",B33,B34)</x:f>
        <x:v>0</x:v>
      </x:c>
      <x:c r="C32" s="2" t="n">
        <x:f>IF($B$3="Lean",C33,C34)</x:f>
        <x:v>0</x:v>
      </x:c>
      <x:c r="D32" s="2" t="n">
        <x:f>IF($B$3="Lean",D33,D34)</x:f>
        <x:v>1</x:v>
      </x:c>
      <x:c r="E32" s="2" t="n">
        <x:f>IF($B$3="Lean",E33,E34)</x:f>
        <x:v>0</x:v>
      </x:c>
      <x:c r="F32" s="2" t="n">
        <x:f>IF($B$3="Lean",F33,F34)</x:f>
        <x:v>1</x:v>
      </x:c>
      <x:c r="G32" s="2" t="n">
        <x:f>IF($B$3="Lean",G33,G34)</x:f>
        <x:v>0</x:v>
      </x:c>
      <x:c r="H32" s="2" t="n">
        <x:f>IF($B$3="Lean",H33,H34)</x:f>
        <x:v>1</x:v>
      </x:c>
      <x:c r="I32" s="2" t="n">
        <x:f>IF($B$3="Lean",I33,I34)</x:f>
        <x:v>0</x:v>
      </x:c>
      <x:c r="J32" s="2" t="n">
        <x:f>IF($B$3="Lean",J33,J34)</x:f>
        <x:v>1</x:v>
      </x:c>
      <x:c r="K32" s="2" t="n">
        <x:f>IF($B$3="Lean",K33,K34)</x:f>
        <x:v>0</x:v>
      </x:c>
      <x:c r="L32" s="2" t="n">
        <x:f>IF($B$3="Lean",L33,L34)</x:f>
        <x:v>1</x:v>
      </x:c>
      <x:c r="M32" s="2" t="n">
        <x:f>IF($B$3="Lean",M33,M34)</x:f>
        <x:v>0</x:v>
      </x:c>
    </x:row>
    <x:row r="33" ht="24" customHeight="1">
      <x:c r="A33" s="2" t="str">
        <x:v>Lean</x:v>
      </x:c>
      <x:c r="B33" s="7" t="n">
        <x:v>0</x:v>
      </x:c>
      <x:c r="C33" s="7" t="n">
        <x:v>0</x:v>
      </x:c>
      <x:c r="D33" s="7" t="n">
        <x:v>1</x:v>
      </x:c>
      <x:c r="E33" s="7" t="n">
        <x:v>0</x:v>
      </x:c>
      <x:c r="F33" s="7" t="n">
        <x:v>1</x:v>
      </x:c>
      <x:c r="G33" s="7" t="n">
        <x:v>0</x:v>
      </x:c>
      <x:c r="H33" s="7" t="n">
        <x:v>1</x:v>
      </x:c>
      <x:c r="I33" s="7" t="n">
        <x:v>0</x:v>
      </x:c>
      <x:c r="J33" s="7" t="n">
        <x:v>1</x:v>
      </x:c>
      <x:c r="K33" s="7" t="n">
        <x:v>0</x:v>
      </x:c>
      <x:c r="L33" s="7" t="n">
        <x:v>1</x:v>
      </x:c>
      <x:c r="M33" s="7" t="n">
        <x:v>0</x:v>
      </x:c>
    </x:row>
    <x:row r="34" ht="24" customHeight="1">
      <x:c r="A34" s="2" t="str">
        <x:v>Ideal</x:v>
      </x:c>
      <x:c r="B34" s="7" t="n">
        <x:v>3</x:v>
      </x:c>
      <x:c r="C34" s="7" t="n">
        <x:v>3</x:v>
      </x:c>
      <x:c r="D34" s="7" t="n">
        <x:v>3</x:v>
      </x:c>
      <x:c r="E34" s="7" t="n">
        <x:v>3</x:v>
      </x:c>
      <x:c r="F34" s="7" t="n">
        <x:v>3</x:v>
      </x:c>
      <x:c r="G34" s="7" t="n">
        <x:v>3</x:v>
      </x:c>
      <x:c r="H34" s="7" t="n">
        <x:v>3</x:v>
      </x:c>
      <x:c r="I34" s="7" t="n">
        <x:v>3</x:v>
      </x:c>
      <x:c r="J34" s="7" t="n">
        <x:v>3</x:v>
      </x:c>
      <x:c r="K34" s="7" t="n">
        <x:v>3</x:v>
      </x:c>
      <x:c r="L34" s="7" t="n">
        <x:v>0</x:v>
      </x:c>
      <x:c r="M34" s="7" t="n">
        <x:v>0</x:v>
      </x:c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4" customHeight="1">
      <x:c r="A36" s="2" t="str">
        <x:v>Cancelamentos Básico — ativa</x:v>
      </x:c>
      <x:c r="B36" s="2" t="n">
        <x:f>IF($B$3="Lean",B37,B38)</x:f>
        <x:v>0</x:v>
      </x:c>
      <x:c r="C36" s="2" t="n">
        <x:f>IF($B$3="Lean",C37,C38)</x:f>
        <x:v>0</x:v>
      </x:c>
      <x:c r="D36" s="2" t="n">
        <x:f>IF($B$3="Lean",D37,D38)</x:f>
        <x:v>0</x:v>
      </x:c>
      <x:c r="E36" s="2" t="n">
        <x:f>IF($B$3="Lean",E37,E38)</x:f>
        <x:v>0</x:v>
      </x:c>
      <x:c r="F36" s="2" t="n">
        <x:f>IF($B$3="Lean",F37,F38)</x:f>
        <x:v>0</x:v>
      </x:c>
      <x:c r="G36" s="2" t="n">
        <x:f>IF($B$3="Lean",G37,G38)</x:f>
        <x:v>0</x:v>
      </x:c>
      <x:c r="H36" s="2" t="n">
        <x:f>IF($B$3="Lean",H37,H38)</x:f>
        <x:v>0</x:v>
      </x:c>
      <x:c r="I36" s="2" t="n">
        <x:f>IF($B$3="Lean",I37,I38)</x:f>
        <x:v>0</x:v>
      </x:c>
      <x:c r="J36" s="2" t="n">
        <x:f>IF($B$3="Lean",J37,J38)</x:f>
        <x:v>0</x:v>
      </x:c>
      <x:c r="K36" s="2" t="n">
        <x:f>IF($B$3="Lean",K37,K38)</x:f>
        <x:v>0</x:v>
      </x:c>
      <x:c r="L36" s="2" t="n">
        <x:f>IF($B$3="Lean",L37,L38)</x:f>
        <x:v>0</x:v>
      </x:c>
      <x:c r="M36" s="2" t="n">
        <x:f>IF($B$3="Lean",M37,M38)</x:f>
        <x:v>0</x:v>
      </x:c>
    </x:row>
    <x:row r="37" ht="24" customHeight="1">
      <x:c r="A37" s="2" t="str">
        <x:v>Lean</x:v>
      </x:c>
      <x:c r="B37" s="7" t="n">
        <x:v>0</x:v>
      </x:c>
      <x:c r="C37" s="7" t="n">
        <x:v>0</x:v>
      </x:c>
      <x:c r="D37" s="7" t="n">
        <x:v>0</x:v>
      </x:c>
      <x:c r="E37" s="7" t="n">
        <x:v>0</x:v>
      </x:c>
      <x:c r="F37" s="7" t="n">
        <x:v>0</x:v>
      </x:c>
      <x:c r="G37" s="7" t="n">
        <x:v>0</x:v>
      </x:c>
      <x:c r="H37" s="7" t="n">
        <x:v>0</x:v>
      </x:c>
      <x:c r="I37" s="7" t="n">
        <x:v>0</x:v>
      </x:c>
      <x:c r="J37" s="7" t="n">
        <x:v>0</x:v>
      </x:c>
      <x:c r="K37" s="7" t="n">
        <x:v>0</x:v>
      </x:c>
      <x:c r="L37" s="7" t="n">
        <x:v>0</x:v>
      </x:c>
      <x:c r="M37" s="7" t="n">
        <x:v>0</x:v>
      </x:c>
    </x:row>
    <x:row r="38" ht="24" customHeight="1">
      <x:c r="A38" s="2" t="str">
        <x:v>Ideal</x:v>
      </x:c>
      <x:c r="B38" s="7" t="n">
        <x:v>0</x:v>
      </x:c>
      <x:c r="C38" s="7" t="n">
        <x:v>0</x:v>
      </x:c>
      <x:c r="D38" s="7" t="n">
        <x:v>0</x:v>
      </x:c>
      <x:c r="E38" s="7" t="n">
        <x:v>0</x:v>
      </x:c>
      <x:c r="F38" s="7" t="n">
        <x:v>0</x:v>
      </x:c>
      <x:c r="G38" s="7" t="n">
        <x:v>0</x:v>
      </x:c>
      <x:c r="H38" s="7" t="n">
        <x:v>0</x:v>
      </x:c>
      <x:c r="I38" s="7" t="n">
        <x:v>0</x:v>
      </x:c>
      <x:c r="J38" s="7" t="n">
        <x:v>0</x:v>
      </x:c>
      <x:c r="K38" s="7" t="n">
        <x:v>0</x:v>
      </x:c>
      <x:c r="L38" s="7" t="n">
        <x:v>0</x:v>
      </x:c>
      <x:c r="M38" s="7" t="n">
        <x:v>0</x:v>
      </x:c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4" customHeight="1">
      <x:c r="A40" s="2" t="str">
        <x:v>Cancelamentos Profissional — ativa</x:v>
      </x:c>
      <x:c r="B40" s="2" t="n">
        <x:f>IF($B$3="Lean",B41,B42)</x:f>
        <x:v>0</x:v>
      </x:c>
      <x:c r="C40" s="2" t="n">
        <x:f>IF($B$3="Lean",C41,C42)</x:f>
        <x:v>0</x:v>
      </x:c>
      <x:c r="D40" s="2" t="n">
        <x:f>IF($B$3="Lean",D41,D42)</x:f>
        <x:v>0</x:v>
      </x:c>
      <x:c r="E40" s="2" t="n">
        <x:f>IF($B$3="Lean",E41,E42)</x:f>
        <x:v>0</x:v>
      </x:c>
      <x:c r="F40" s="2" t="n">
        <x:f>IF($B$3="Lean",F41,F42)</x:f>
        <x:v>0</x:v>
      </x:c>
      <x:c r="G40" s="2" t="n">
        <x:f>IF($B$3="Lean",G41,G42)</x:f>
        <x:v>0</x:v>
      </x:c>
      <x:c r="H40" s="2" t="n">
        <x:f>IF($B$3="Lean",H41,H42)</x:f>
        <x:v>0</x:v>
      </x:c>
      <x:c r="I40" s="2" t="n">
        <x:f>IF($B$3="Lean",I41,I42)</x:f>
        <x:v>0</x:v>
      </x:c>
      <x:c r="J40" s="2" t="n">
        <x:f>IF($B$3="Lean",J41,J42)</x:f>
        <x:v>0</x:v>
      </x:c>
      <x:c r="K40" s="2" t="n">
        <x:f>IF($B$3="Lean",K41,K42)</x:f>
        <x:v>0</x:v>
      </x:c>
      <x:c r="L40" s="2" t="n">
        <x:f>IF($B$3="Lean",L41,L42)</x:f>
        <x:v>0</x:v>
      </x:c>
      <x:c r="M40" s="2" t="n">
        <x:f>IF($B$3="Lean",M41,M42)</x:f>
        <x:v>0</x:v>
      </x:c>
    </x:row>
    <x:row r="41" ht="24" customHeight="1">
      <x:c r="A41" s="2" t="str">
        <x:v>Lean</x:v>
      </x:c>
      <x:c r="B41" s="7" t="n">
        <x:v>0</x:v>
      </x:c>
      <x:c r="C41" s="7" t="n">
        <x:v>0</x:v>
      </x:c>
      <x:c r="D41" s="7" t="n">
        <x:v>0</x:v>
      </x:c>
      <x:c r="E41" s="7" t="n">
        <x:v>0</x:v>
      </x:c>
      <x:c r="F41" s="7" t="n">
        <x:v>0</x:v>
      </x:c>
      <x:c r="G41" s="7" t="n">
        <x:v>0</x:v>
      </x:c>
      <x:c r="H41" s="7" t="n">
        <x:v>0</x:v>
      </x:c>
      <x:c r="I41" s="7" t="n">
        <x:v>0</x:v>
      </x:c>
      <x:c r="J41" s="7" t="n">
        <x:v>0</x:v>
      </x:c>
      <x:c r="K41" s="7" t="n">
        <x:v>0</x:v>
      </x:c>
      <x:c r="L41" s="7" t="n">
        <x:v>0</x:v>
      </x:c>
      <x:c r="M41" s="7" t="n">
        <x:v>0</x:v>
      </x:c>
    </x:row>
    <x:row r="42" ht="24" customHeight="1">
      <x:c r="A42" s="2" t="str">
        <x:v>Ideal</x:v>
      </x:c>
      <x:c r="B42" s="7" t="n">
        <x:v>0</x:v>
      </x:c>
      <x:c r="C42" s="7" t="n">
        <x:v>0</x:v>
      </x:c>
      <x:c r="D42" s="7" t="n">
        <x:v>0</x:v>
      </x:c>
      <x:c r="E42" s="7" t="n">
        <x:v>0</x:v>
      </x:c>
      <x:c r="F42" s="7" t="n">
        <x:v>0</x:v>
      </x:c>
      <x:c r="G42" s="7" t="n">
        <x:v>0</x:v>
      </x:c>
      <x:c r="H42" s="7" t="n">
        <x:v>0</x:v>
      </x:c>
      <x:c r="I42" s="7" t="n">
        <x:v>0</x:v>
      </x:c>
      <x:c r="J42" s="7" t="n">
        <x:v>0</x:v>
      </x:c>
      <x:c r="K42" s="7" t="n">
        <x:v>0</x:v>
      </x:c>
      <x:c r="L42" s="7" t="n">
        <x:v>0</x:v>
      </x:c>
      <x:c r="M42" s="7" t="n">
        <x:v>0</x:v>
      </x:c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4" customHeight="1">
      <x:c r="A45" s="2" t="str">
        <x:v>Não cancelar mais contratos do que os disponíveis. O Fluxo sinaliza carteira negativa.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4" customHeight="1">
      <x:c r="A46" s="2" t="str">
        <x:v>Sem reinvestimentos ou retirada de lucros. Pró-labore já incluído nos gastos fixos.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4" customHeight="1">
      <x:c r="A47" s="2" t="str">
        <x:v>Capital de giro é saldo de caixa, não saída adicional. Depreciação não é desembolso.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</x:sheetData>
  <x:dataValidations count="6">
    <x:dataValidation type="list" sqref="B3">
      <x:formula1>"Lean,Ideal"</x:formula1>
    </x:dataValidation>
    <x:dataValidation type="decimal" operator="between" sqref="C13:D15">
      <x:formula1>0</x:formula1>
      <x:formula2>1</x:formula2>
    </x:dataValidation>
    <x:dataValidation type="whole" operator="between" sqref="B29:M30">
      <x:formula1>0</x:formula1>
      <x:formula2>10000</x:formula2>
    </x:dataValidation>
    <x:dataValidation type="whole" operator="between" sqref="B33:M34">
      <x:formula1>0</x:formula1>
      <x:formula2>10000</x:formula2>
    </x:dataValidation>
    <x:dataValidation type="whole" operator="between" sqref="B37:M38">
      <x:formula1>0</x:formula1>
      <x:formula2>10000</x:formula2>
    </x:dataValidation>
    <x:dataValidation type="whole" operator="between" sqref="B41:M42">
      <x:formula1>0</x:formula1>
      <x:formula2>10000</x:formula2>
    </x:dataValidation>
  </x:dataValidations>
  <x:pageMargins left="0.7" right="0.7" top="0.75" bottom="0.75" header="0.3" footer="0.3"/>
</x:worksheet>
</file>